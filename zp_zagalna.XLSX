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filterPrivacy="1" defaultThemeVersion="124226"/>
  <bookViews>
    <workbookView xWindow="0" yWindow="0" windowWidth="20496" windowHeight="7620"/>
  </bookViews>
  <sheets>
    <sheet name="итоговая" sheetId="1" r:id="rId1"/>
    <sheet name="Лист2" sheetId="2" r:id="rId2"/>
    <sheet name="зп жінки" sheetId="4" r:id="rId3"/>
    <sheet name="зп чоловіки" sheetId="3" r:id="rId4"/>
  </sheets>
  <calcPr calcId="144525"/>
</workbook>
</file>

<file path=xl/calcChain.xml><?xml version="1.0" encoding="utf-8"?>
<calcChain xmlns="http://schemas.openxmlformats.org/spreadsheetml/2006/main">
  <c r="Y18" i="4" l="1"/>
  <c r="X18" i="4"/>
  <c r="W18" i="4"/>
  <c r="V18" i="4"/>
  <c r="U18" i="4"/>
  <c r="T18" i="4"/>
  <c r="S18" i="4"/>
  <c r="R18" i="4"/>
  <c r="Q18" i="4"/>
  <c r="P18" i="4"/>
  <c r="O18" i="4"/>
  <c r="N18" i="4"/>
  <c r="M18" i="4"/>
  <c r="L18" i="4"/>
  <c r="K18" i="4"/>
  <c r="J18" i="4"/>
  <c r="I18" i="4"/>
  <c r="H18" i="4"/>
  <c r="G18" i="4"/>
  <c r="F18" i="4"/>
  <c r="E18" i="4"/>
  <c r="D18" i="4"/>
  <c r="C18" i="4"/>
  <c r="B18" i="4"/>
  <c r="Y13" i="4"/>
  <c r="X13" i="4"/>
  <c r="W13" i="4"/>
  <c r="V13" i="4"/>
  <c r="U13" i="4"/>
  <c r="T13" i="4"/>
  <c r="S13" i="4"/>
  <c r="R13" i="4"/>
  <c r="Q13" i="4"/>
  <c r="P13" i="4"/>
  <c r="O13" i="4"/>
  <c r="N13" i="4"/>
  <c r="M13" i="4"/>
  <c r="L13" i="4"/>
  <c r="K13" i="4"/>
  <c r="J13" i="4"/>
  <c r="I13" i="4"/>
  <c r="H13" i="4"/>
  <c r="G13" i="4"/>
  <c r="F13" i="4"/>
  <c r="E13" i="4"/>
  <c r="D13" i="4"/>
  <c r="C13" i="4"/>
  <c r="B13" i="4"/>
  <c r="Y8" i="4"/>
  <c r="X8" i="4"/>
  <c r="W8" i="4"/>
  <c r="V8" i="4"/>
  <c r="U8" i="4"/>
  <c r="T8" i="4"/>
  <c r="S8" i="4"/>
  <c r="R8" i="4"/>
  <c r="Q8" i="4"/>
  <c r="P8" i="4"/>
  <c r="O8" i="4"/>
  <c r="N8" i="4"/>
  <c r="M8" i="4"/>
  <c r="L8" i="4"/>
  <c r="K8" i="4"/>
  <c r="J8" i="4"/>
  <c r="I8" i="4"/>
  <c r="H8" i="4"/>
  <c r="G8" i="4"/>
  <c r="F8" i="4"/>
  <c r="E8" i="4"/>
  <c r="D8" i="4"/>
  <c r="C8" i="4"/>
  <c r="B8" i="4"/>
  <c r="Y3" i="4"/>
  <c r="X3" i="4"/>
  <c r="W3" i="4"/>
  <c r="V3" i="4"/>
  <c r="U3" i="4"/>
  <c r="T3" i="4"/>
  <c r="S3" i="4"/>
  <c r="R3" i="4"/>
  <c r="Q3" i="4"/>
  <c r="P3" i="4"/>
  <c r="O3" i="4"/>
  <c r="N3" i="4"/>
  <c r="M3" i="4"/>
  <c r="L3" i="4"/>
  <c r="K3" i="4"/>
  <c r="J3" i="4"/>
  <c r="I3" i="4"/>
  <c r="H3" i="4"/>
  <c r="G3" i="4"/>
  <c r="F3" i="4"/>
  <c r="E3" i="4"/>
  <c r="D3" i="4"/>
  <c r="C3" i="4"/>
  <c r="B3" i="4"/>
  <c r="Y15" i="3"/>
  <c r="X15" i="3"/>
  <c r="W15" i="3"/>
  <c r="V15" i="3"/>
  <c r="U15" i="3"/>
  <c r="T15" i="3"/>
  <c r="S15" i="3"/>
  <c r="R15" i="3"/>
  <c r="Q15" i="3"/>
  <c r="P15" i="3"/>
  <c r="O15" i="3"/>
  <c r="N15" i="3"/>
  <c r="M15" i="3"/>
  <c r="L15" i="3"/>
  <c r="K15" i="3"/>
  <c r="J15" i="3"/>
  <c r="I15" i="3"/>
  <c r="H15" i="3"/>
  <c r="G15" i="3"/>
  <c r="F15" i="3"/>
  <c r="E15" i="3"/>
  <c r="D15" i="3"/>
  <c r="C15" i="3"/>
  <c r="B15" i="3"/>
  <c r="Y11" i="3"/>
  <c r="X11" i="3"/>
  <c r="W11" i="3"/>
  <c r="V11" i="3"/>
  <c r="U11" i="3"/>
  <c r="T11" i="3"/>
  <c r="S11" i="3"/>
  <c r="R11" i="3"/>
  <c r="Q11" i="3"/>
  <c r="P11" i="3"/>
  <c r="O11" i="3"/>
  <c r="N11" i="3"/>
  <c r="M11" i="3"/>
  <c r="L11" i="3"/>
  <c r="K11" i="3"/>
  <c r="J11" i="3"/>
  <c r="I11" i="3"/>
  <c r="H11" i="3"/>
  <c r="G11" i="3"/>
  <c r="F11" i="3"/>
  <c r="E11" i="3"/>
  <c r="D11" i="3"/>
  <c r="C11" i="3"/>
  <c r="B11" i="3"/>
  <c r="Y7" i="3"/>
  <c r="X7" i="3"/>
  <c r="W7" i="3"/>
  <c r="V7" i="3"/>
  <c r="U7" i="3"/>
  <c r="T7" i="3"/>
  <c r="S7" i="3"/>
  <c r="R7" i="3"/>
  <c r="Q7" i="3"/>
  <c r="P7" i="3"/>
  <c r="O7" i="3"/>
  <c r="N7" i="3"/>
  <c r="M7" i="3"/>
  <c r="L7" i="3"/>
  <c r="K7" i="3"/>
  <c r="J7" i="3"/>
  <c r="I7" i="3"/>
  <c r="H7" i="3"/>
  <c r="G7" i="3"/>
  <c r="F7" i="3"/>
  <c r="E7" i="3"/>
  <c r="D7" i="3"/>
  <c r="C7" i="3"/>
  <c r="B7" i="3"/>
  <c r="Y3" i="3"/>
  <c r="X3" i="3"/>
  <c r="W3" i="3"/>
  <c r="V3" i="3"/>
  <c r="U3" i="3"/>
  <c r="T3" i="3"/>
  <c r="S3" i="3"/>
  <c r="R3" i="3"/>
  <c r="Q3" i="3"/>
  <c r="P3" i="3"/>
  <c r="O3" i="3"/>
  <c r="N3" i="3"/>
  <c r="M3" i="3"/>
  <c r="L3" i="3"/>
  <c r="K3" i="3"/>
  <c r="J3" i="3"/>
  <c r="I3" i="3"/>
  <c r="H3" i="3"/>
  <c r="G3" i="3"/>
  <c r="F3" i="3"/>
  <c r="E3" i="3"/>
  <c r="D3" i="3"/>
  <c r="C3" i="3"/>
  <c r="B3" i="3"/>
  <c r="Y19" i="4" l="1"/>
  <c r="X19" i="4"/>
  <c r="W19" i="4"/>
  <c r="V19" i="4"/>
  <c r="U17" i="4"/>
  <c r="T17" i="4"/>
  <c r="S19" i="4"/>
  <c r="R19" i="4"/>
  <c r="Q19" i="4"/>
  <c r="P17" i="4"/>
  <c r="O19" i="4"/>
  <c r="N19" i="4"/>
  <c r="M17" i="4"/>
  <c r="L19" i="4"/>
  <c r="K17" i="4"/>
  <c r="J17" i="4"/>
  <c r="I17" i="4"/>
  <c r="H17" i="4"/>
  <c r="G17" i="4"/>
  <c r="F19" i="4"/>
  <c r="E17" i="4"/>
  <c r="D17" i="4"/>
  <c r="C17" i="4"/>
  <c r="B19" i="4"/>
  <c r="O14" i="4"/>
  <c r="N14" i="4"/>
  <c r="M14" i="4"/>
  <c r="L14" i="4"/>
  <c r="K14" i="4"/>
  <c r="J14" i="4"/>
  <c r="Y14" i="4"/>
  <c r="X14" i="4"/>
  <c r="W12" i="4"/>
  <c r="V14" i="4"/>
  <c r="U14" i="4"/>
  <c r="T14" i="4"/>
  <c r="S14" i="4"/>
  <c r="R14" i="4"/>
  <c r="Q12" i="4"/>
  <c r="P14" i="4"/>
  <c r="K12" i="4"/>
  <c r="J12" i="4"/>
  <c r="I14" i="4"/>
  <c r="H14" i="4"/>
  <c r="G14" i="4"/>
  <c r="F12" i="4"/>
  <c r="E12" i="4"/>
  <c r="D12" i="4"/>
  <c r="O12" i="4"/>
  <c r="N12" i="4"/>
  <c r="M12" i="4"/>
  <c r="L12" i="4"/>
  <c r="C12" i="4"/>
  <c r="B14" i="4"/>
  <c r="I9" i="4"/>
  <c r="H9" i="4"/>
  <c r="G9" i="4"/>
  <c r="F9" i="4"/>
  <c r="E9" i="4"/>
  <c r="D9" i="4"/>
  <c r="Y9" i="4"/>
  <c r="X9" i="4"/>
  <c r="W9" i="4"/>
  <c r="V9" i="4"/>
  <c r="U9" i="4"/>
  <c r="T9" i="4"/>
  <c r="S9" i="4"/>
  <c r="R9" i="4"/>
  <c r="Q9" i="4"/>
  <c r="P9" i="4"/>
  <c r="O7" i="4"/>
  <c r="N9" i="4"/>
  <c r="M9" i="4"/>
  <c r="L9" i="4"/>
  <c r="K9" i="4"/>
  <c r="J9" i="4"/>
  <c r="E7" i="4"/>
  <c r="D7" i="4"/>
  <c r="I7" i="4"/>
  <c r="H7" i="4"/>
  <c r="G7" i="4"/>
  <c r="F7" i="4"/>
  <c r="C9" i="4"/>
  <c r="B7" i="4"/>
  <c r="N2" i="4"/>
  <c r="O2" i="4"/>
  <c r="P2" i="4"/>
  <c r="Q2" i="4"/>
  <c r="D2" i="4"/>
  <c r="E2" i="4"/>
  <c r="F2" i="4"/>
  <c r="G4" i="4"/>
  <c r="H2" i="4"/>
  <c r="I2" i="4"/>
  <c r="J4" i="4"/>
  <c r="K2" i="4"/>
  <c r="L4" i="4"/>
  <c r="M2" i="4"/>
  <c r="R2" i="4"/>
  <c r="S2" i="4"/>
  <c r="T2" i="4"/>
  <c r="U4" i="4"/>
  <c r="V4" i="4"/>
  <c r="W4" i="4"/>
  <c r="X4" i="4"/>
  <c r="Y4" i="4"/>
  <c r="N4" i="4"/>
  <c r="O4" i="4"/>
  <c r="P4" i="4"/>
  <c r="Q4" i="4"/>
  <c r="R4" i="4"/>
  <c r="C4" i="4"/>
  <c r="B4" i="4"/>
  <c r="Y16" i="3"/>
  <c r="X16" i="3"/>
  <c r="W14" i="3"/>
  <c r="V14" i="3"/>
  <c r="U16" i="3"/>
  <c r="T14" i="3"/>
  <c r="S16" i="3"/>
  <c r="R16" i="3"/>
  <c r="Q16" i="3"/>
  <c r="P14" i="3"/>
  <c r="O16" i="3"/>
  <c r="N14" i="3"/>
  <c r="M16" i="3"/>
  <c r="L16" i="3"/>
  <c r="K16" i="3"/>
  <c r="J14" i="3"/>
  <c r="I16" i="3"/>
  <c r="H14" i="3"/>
  <c r="G16" i="3"/>
  <c r="F14" i="3"/>
  <c r="E14" i="3"/>
  <c r="D14" i="3"/>
  <c r="C14" i="3"/>
  <c r="Y12" i="3"/>
  <c r="X12" i="3"/>
  <c r="W12" i="3"/>
  <c r="V12" i="3"/>
  <c r="U12" i="3"/>
  <c r="T12" i="3"/>
  <c r="S12" i="3"/>
  <c r="R10" i="3"/>
  <c r="Q12" i="3"/>
  <c r="P12" i="3"/>
  <c r="O12" i="3"/>
  <c r="N10" i="3"/>
  <c r="M10" i="3"/>
  <c r="L10" i="3"/>
  <c r="K10" i="3"/>
  <c r="J10" i="3"/>
  <c r="I10" i="3"/>
  <c r="H10" i="3"/>
  <c r="G12" i="3"/>
  <c r="F12" i="3"/>
  <c r="E10" i="3"/>
  <c r="D10" i="3"/>
  <c r="C12" i="3"/>
  <c r="K8" i="3"/>
  <c r="J8" i="3"/>
  <c r="I8" i="3"/>
  <c r="H8" i="3"/>
  <c r="G8" i="3"/>
  <c r="F8" i="3"/>
  <c r="Y8" i="3"/>
  <c r="X6" i="3"/>
  <c r="W6" i="3"/>
  <c r="V8" i="3"/>
  <c r="U8" i="3"/>
  <c r="T6" i="3"/>
  <c r="S6" i="3"/>
  <c r="R6" i="3"/>
  <c r="Q6" i="3"/>
  <c r="P6" i="3"/>
  <c r="O6" i="3"/>
  <c r="N6" i="3"/>
  <c r="M6" i="3"/>
  <c r="L8" i="3"/>
  <c r="G6" i="3"/>
  <c r="F6" i="3"/>
  <c r="E6" i="3"/>
  <c r="D6" i="3"/>
  <c r="K6" i="3"/>
  <c r="J6" i="3"/>
  <c r="I6" i="3"/>
  <c r="H6" i="3"/>
  <c r="C8" i="3"/>
  <c r="D4" i="3"/>
  <c r="C4" i="3"/>
  <c r="Y4" i="3"/>
  <c r="U4" i="3"/>
  <c r="G4" i="3"/>
  <c r="X4" i="3"/>
  <c r="W4" i="3"/>
  <c r="V2" i="3"/>
  <c r="T2" i="3"/>
  <c r="S4" i="3"/>
  <c r="R4" i="3"/>
  <c r="Q4" i="3"/>
  <c r="P4" i="3"/>
  <c r="O4" i="3"/>
  <c r="N4" i="3"/>
  <c r="M2" i="3"/>
  <c r="L4" i="3"/>
  <c r="K4" i="3"/>
  <c r="J4" i="3"/>
  <c r="I4" i="3"/>
  <c r="H4" i="3"/>
  <c r="F2" i="3"/>
  <c r="E4" i="3"/>
  <c r="B16" i="3"/>
  <c r="B12" i="3"/>
  <c r="B6" i="3"/>
  <c r="B2" i="3"/>
  <c r="V2" i="4" l="1"/>
  <c r="W2" i="4"/>
  <c r="U2" i="4"/>
  <c r="T4" i="4"/>
  <c r="S4" i="4"/>
  <c r="C14" i="4"/>
  <c r="G12" i="4"/>
  <c r="H12" i="4"/>
  <c r="F14" i="4"/>
  <c r="D19" i="4"/>
  <c r="D14" i="4"/>
  <c r="E14" i="4"/>
  <c r="I12" i="4"/>
  <c r="E19" i="4"/>
  <c r="C19" i="4"/>
  <c r="L7" i="4"/>
  <c r="M7" i="4"/>
  <c r="F17" i="4"/>
  <c r="L17" i="4"/>
  <c r="J19" i="4"/>
  <c r="G19" i="4"/>
  <c r="K19" i="4"/>
  <c r="B17" i="4"/>
  <c r="J7" i="4"/>
  <c r="B2" i="4"/>
  <c r="N17" i="4"/>
  <c r="B9" i="4"/>
  <c r="I19" i="4"/>
  <c r="O9" i="4"/>
  <c r="B12" i="4"/>
  <c r="O17" i="4"/>
  <c r="M19" i="4"/>
  <c r="C7" i="4"/>
  <c r="K7" i="4"/>
  <c r="N7" i="4"/>
  <c r="H19" i="4"/>
  <c r="C2" i="4"/>
  <c r="Y2" i="4"/>
  <c r="X2" i="4"/>
  <c r="F16" i="3"/>
  <c r="D16" i="3"/>
  <c r="E16" i="3"/>
  <c r="M8" i="3"/>
  <c r="H16" i="3"/>
  <c r="H12" i="3"/>
  <c r="L6" i="3"/>
  <c r="N8" i="3"/>
  <c r="L12" i="3"/>
  <c r="G14" i="3"/>
  <c r="K12" i="3"/>
  <c r="M12" i="3"/>
  <c r="I12" i="3"/>
  <c r="J12" i="3"/>
  <c r="O8" i="3"/>
  <c r="U2" i="3"/>
  <c r="O10" i="3"/>
  <c r="J16" i="3"/>
  <c r="I14" i="3"/>
  <c r="K14" i="3"/>
  <c r="N12" i="3"/>
  <c r="G2" i="3"/>
  <c r="M14" i="3"/>
  <c r="L14" i="3"/>
  <c r="D2" i="3"/>
  <c r="D8" i="3"/>
  <c r="E8" i="3"/>
  <c r="C2" i="3"/>
  <c r="C6" i="3"/>
  <c r="B8" i="3"/>
  <c r="C16" i="3"/>
  <c r="O14" i="3"/>
  <c r="N16" i="3"/>
  <c r="B10" i="3"/>
  <c r="B14" i="3"/>
  <c r="C10" i="3"/>
  <c r="F10" i="3"/>
  <c r="D12" i="3"/>
  <c r="G10" i="3"/>
  <c r="E12" i="3"/>
  <c r="Q17" i="4"/>
  <c r="S17" i="4"/>
  <c r="W17" i="4"/>
  <c r="Y17" i="4"/>
  <c r="T19" i="4"/>
  <c r="U19" i="4"/>
  <c r="R17" i="4"/>
  <c r="V17" i="4"/>
  <c r="X17" i="4"/>
  <c r="P19" i="4"/>
  <c r="T12" i="4"/>
  <c r="U12" i="4"/>
  <c r="V12" i="4"/>
  <c r="S12" i="4"/>
  <c r="Q14" i="4"/>
  <c r="P12" i="4"/>
  <c r="R12" i="4"/>
  <c r="X12" i="4"/>
  <c r="W14" i="4"/>
  <c r="Y12" i="4"/>
  <c r="V7" i="4"/>
  <c r="P7" i="4"/>
  <c r="R7" i="4"/>
  <c r="W7" i="4"/>
  <c r="Q7" i="4"/>
  <c r="S7" i="4"/>
  <c r="X7" i="4"/>
  <c r="T7" i="4"/>
  <c r="U7" i="4"/>
  <c r="Y7" i="4"/>
  <c r="I4" i="4"/>
  <c r="K4" i="4"/>
  <c r="F4" i="4"/>
  <c r="L2" i="4"/>
  <c r="G2" i="4"/>
  <c r="M4" i="4"/>
  <c r="D4" i="4"/>
  <c r="J2" i="4"/>
  <c r="H4" i="4"/>
  <c r="E4" i="4"/>
  <c r="Q14" i="3"/>
  <c r="U14" i="3"/>
  <c r="R14" i="3"/>
  <c r="X14" i="3"/>
  <c r="Y14" i="3"/>
  <c r="P16" i="3"/>
  <c r="S14" i="3"/>
  <c r="T16" i="3"/>
  <c r="V16" i="3"/>
  <c r="W16" i="3"/>
  <c r="P10" i="3"/>
  <c r="Q10" i="3"/>
  <c r="T10" i="3"/>
  <c r="U10" i="3"/>
  <c r="V10" i="3"/>
  <c r="W10" i="3"/>
  <c r="Y10" i="3"/>
  <c r="X10" i="3"/>
  <c r="R12" i="3"/>
  <c r="S10" i="3"/>
  <c r="U6" i="3"/>
  <c r="Q8" i="3"/>
  <c r="S8" i="3"/>
  <c r="W8" i="3"/>
  <c r="V6" i="3"/>
  <c r="P8" i="3"/>
  <c r="R8" i="3"/>
  <c r="T8" i="3"/>
  <c r="X8" i="3"/>
  <c r="Y6" i="3"/>
  <c r="Y2" i="3"/>
  <c r="E2" i="3"/>
  <c r="F4" i="3"/>
  <c r="I2" i="3"/>
  <c r="N2" i="3"/>
  <c r="M4" i="3"/>
  <c r="B4" i="3"/>
  <c r="O2" i="3"/>
  <c r="J2" i="3"/>
  <c r="P2" i="3"/>
  <c r="H2" i="3"/>
  <c r="L2" i="3"/>
  <c r="Q2" i="3"/>
  <c r="K2" i="3"/>
  <c r="S2" i="3"/>
  <c r="X2" i="3"/>
  <c r="V4" i="3"/>
  <c r="R2" i="3"/>
  <c r="W2" i="3"/>
  <c r="T4" i="3"/>
</calcChain>
</file>

<file path=xl/sharedStrings.xml><?xml version="1.0" encoding="utf-8"?>
<sst xmlns="http://schemas.openxmlformats.org/spreadsheetml/2006/main" count="565" uniqueCount="203">
  <si>
    <t>Activity</t>
  </si>
  <si>
    <t>On average for an economy</t>
  </si>
  <si>
    <t xml:space="preserve">Agriculture, forestry and fishing </t>
  </si>
  <si>
    <t>Manufacturing</t>
  </si>
  <si>
    <t>Construction</t>
  </si>
  <si>
    <t xml:space="preserve">Wholesale and retail trade; repair of motor vehicles and motorcycles </t>
  </si>
  <si>
    <t>Transportation and warehousing, postal and courier activities</t>
  </si>
  <si>
    <t>Land transport and transport via pipelines</t>
  </si>
  <si>
    <t>Water transport</t>
  </si>
  <si>
    <t>Air transport</t>
  </si>
  <si>
    <t>Warehousing and support activities for transportation</t>
  </si>
  <si>
    <t>Postal and courier activities</t>
  </si>
  <si>
    <t xml:space="preserve">Accommodation and food service activities </t>
  </si>
  <si>
    <t xml:space="preserve">Information and communication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</si>
  <si>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</si>
  <si>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</si>
  <si>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</si>
  <si>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</si>
  <si>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</si>
  <si>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Education</t>
  </si>
  <si>
    <t xml:space="preserve">Human health and social work activities </t>
  </si>
  <si>
    <t xml:space="preserve">Arts, sport, entertainment and recreation </t>
  </si>
  <si>
    <t xml:space="preserve">arts, entertainment and recreation activities  </t>
  </si>
  <si>
    <t>Libraries, archives, museums and other cultural activities</t>
  </si>
  <si>
    <t xml:space="preserve">Other service activities </t>
  </si>
  <si>
    <t>February/UAH</t>
  </si>
  <si>
    <t>January/UAH</t>
  </si>
  <si>
    <t>March/UAH</t>
  </si>
  <si>
    <t>April/UAH</t>
  </si>
  <si>
    <t>May/UAH</t>
  </si>
  <si>
    <t>June/UAH</t>
  </si>
  <si>
    <t>July/UAH</t>
  </si>
  <si>
    <t>August/UAH</t>
  </si>
  <si>
    <t>September/UAH</t>
  </si>
  <si>
    <t>October/UAH</t>
  </si>
  <si>
    <t>November/UAH</t>
  </si>
  <si>
    <t>December/UAH</t>
  </si>
  <si>
    <r>
      <t>Середньомісячна заробітна плата за статтю та видами економічної діяльності за квартал у 2021 році</t>
    </r>
    <r>
      <rPr>
        <b/>
        <vertAlign val="superscript"/>
        <sz val="10"/>
        <color theme="1"/>
        <rFont val="Verdana"/>
        <family val="2"/>
        <charset val="204"/>
      </rPr>
      <t>1, 2</t>
    </r>
  </si>
  <si>
    <r>
      <t>Average monthly wages by sex and type of economic activity over the quarter in 2021</t>
    </r>
    <r>
      <rPr>
        <b/>
        <vertAlign val="superscript"/>
        <sz val="10"/>
        <color rgb="FF000000"/>
        <rFont val="Verdana"/>
        <family val="2"/>
        <charset val="204"/>
      </rPr>
      <t>1, 2</t>
    </r>
  </si>
  <si>
    <t>(у розрахунку на одного штатного працівника)/(per one regular employee)</t>
  </si>
  <si>
    <t xml:space="preserve">Вид діяльності/Type of activity </t>
  </si>
  <si>
    <t>І квартал/I quarter</t>
  </si>
  <si>
    <t>ІІ квартал/II quarter</t>
  </si>
  <si>
    <t>ІІІ квартал/III quarter</t>
  </si>
  <si>
    <t>ІV квартал/IV quarter</t>
  </si>
  <si>
    <t>чоловіки, грн/men, UAH</t>
  </si>
  <si>
    <t>жінки/women</t>
  </si>
  <si>
    <t>грн/UAH</t>
  </si>
  <si>
    <t>% до заробітної плати чоловіків/% of the men's average wage</t>
  </si>
  <si>
    <t>У середньому по економіці</t>
  </si>
  <si>
    <t xml:space="preserve">Сільське господарство, лісове господарство та рибне господарство </t>
  </si>
  <si>
    <t xml:space="preserve">   з них сільське господарство</t>
  </si>
  <si>
    <t>of which agriculture</t>
  </si>
  <si>
    <t>Промисловість</t>
  </si>
  <si>
    <t>Будівництво</t>
  </si>
  <si>
    <t xml:space="preserve">Оптова та роздрібна торгівля; ремонт автотранспортних засобів і мотоциклів </t>
  </si>
  <si>
    <t xml:space="preserve">Транспорт, складське господарство, поштова та кур'єрська діяльність </t>
  </si>
  <si>
    <t>наземний і трубопровідний транспорт</t>
  </si>
  <si>
    <t>водний транспорт</t>
  </si>
  <si>
    <t>авіаційний транспорт</t>
  </si>
  <si>
    <t>складське господарство та допоміжна діяльність у сфері транспорту</t>
  </si>
  <si>
    <t>поштова та кур'єрська діяльність</t>
  </si>
  <si>
    <t xml:space="preserve">Тимчасове розміщування й організація харчування </t>
  </si>
  <si>
    <t>Інформація та телекомунікації</t>
  </si>
  <si>
    <t>Фінансова та страхова діяльність</t>
  </si>
  <si>
    <t>Операції з нерухомим майном</t>
  </si>
  <si>
    <t xml:space="preserve">Професійна, наукова та технічна діяльність </t>
  </si>
  <si>
    <t xml:space="preserve">   з неї наукові дослідження та розробки </t>
  </si>
  <si>
    <t>of which scientific research and development</t>
  </si>
  <si>
    <t xml:space="preserve">Діяльність у сфері адміністративного та допоміжного обслуговування </t>
  </si>
  <si>
    <t xml:space="preserve">Державне управління й оборона; обов'язкове соціальне страхування </t>
  </si>
  <si>
    <t>Освіта</t>
  </si>
  <si>
    <t xml:space="preserve">Охорона здоров'я та надання соціальної допомоги </t>
  </si>
  <si>
    <t xml:space="preserve">   з них охорона здоров'я  </t>
  </si>
  <si>
    <t>of which human health</t>
  </si>
  <si>
    <t xml:space="preserve">Мистецтво, спорт, розваги та відпочинок </t>
  </si>
  <si>
    <t xml:space="preserve">діяльність у сфері творчості, мистецтва та розваг  </t>
  </si>
  <si>
    <t xml:space="preserve">Arts, entertainment and recreation activities  </t>
  </si>
  <si>
    <t xml:space="preserve">функціювання бібліотек, архівів, музеїв та інших закладів культури  </t>
  </si>
  <si>
    <t>Надання інших видів послуг</t>
  </si>
  <si>
    <r>
      <t>1</t>
    </r>
    <r>
      <rPr>
        <sz val="8"/>
        <color theme="1"/>
        <rFont val="Verdana"/>
        <family val="2"/>
        <charset val="204"/>
      </rPr>
      <t xml:space="preserve">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областях./Data exclude the temporarily occupied territory of the Autonomous Republic of Crimea, the city of Sevastopol and temporarily occupied territories in the Donetsk and Luhansk regions. </t>
    </r>
  </si>
  <si>
    <r>
      <t>2</t>
    </r>
    <r>
      <rPr>
        <sz val="8"/>
        <color theme="1"/>
        <rFont val="Verdana"/>
        <family val="2"/>
        <charset val="204"/>
      </rPr>
      <t xml:space="preserve">Дані підготовлено за результатами державного статистичного спостереження "Обстеження підприємств із питань статистики праці", яким охоплені юридичні особи та відокремлені підрозділи юридичних осіб із кількістю найманих працівників 10 і більше осіб./Data are compiled according to the results from the state statistical observation “Survey of enterprises on issues concerning labor statistics” which covers legal persons and detached units of legal persons with 10 and more employees.  </t>
    </r>
  </si>
  <si>
    <t>1 кв</t>
  </si>
  <si>
    <t>2кв</t>
  </si>
  <si>
    <t>3кв</t>
  </si>
  <si>
    <t>4кв</t>
  </si>
  <si>
    <t>Вид діяльності</t>
  </si>
  <si>
    <t>Січень/January</t>
  </si>
  <si>
    <t>Лютий/February</t>
  </si>
  <si>
    <t>Березень/March</t>
  </si>
  <si>
    <t>Квітень/April</t>
  </si>
  <si>
    <t>Травень/May</t>
  </si>
  <si>
    <t>Червень/June</t>
  </si>
  <si>
    <t>Липень/July</t>
  </si>
  <si>
    <t>Серпень/August</t>
  </si>
  <si>
    <t>Вересень/September</t>
  </si>
  <si>
    <t>Жовтень/October</t>
  </si>
  <si>
    <t>Листопад/November</t>
  </si>
  <si>
    <t>Грудень/December</t>
  </si>
  <si>
    <t xml:space="preserve">% до поперед-нього місяця/   percent of the previous month </t>
  </si>
  <si>
    <t>Україна</t>
  </si>
  <si>
    <t>Вінницька</t>
  </si>
  <si>
    <t>Волинська</t>
  </si>
  <si>
    <t>Дніпропетровська</t>
  </si>
  <si>
    <t>Донецька</t>
  </si>
  <si>
    <t>Житомирська</t>
  </si>
  <si>
    <t>Закарпатська</t>
  </si>
  <si>
    <t>Запорізька</t>
  </si>
  <si>
    <t>Івано-Франківська</t>
  </si>
  <si>
    <t>Київська</t>
  </si>
  <si>
    <t>Кіровоградська</t>
  </si>
  <si>
    <t>Луганська</t>
  </si>
  <si>
    <t>Львівська</t>
  </si>
  <si>
    <t>Миколаївська</t>
  </si>
  <si>
    <t>Одеська</t>
  </si>
  <si>
    <t>Полтавська</t>
  </si>
  <si>
    <t>Рівненська</t>
  </si>
  <si>
    <t>Сумська</t>
  </si>
  <si>
    <t>Тернопільська</t>
  </si>
  <si>
    <t>Харківська</t>
  </si>
  <si>
    <t>Херсонська</t>
  </si>
  <si>
    <t>Хмельницька</t>
  </si>
  <si>
    <t>Черкаська</t>
  </si>
  <si>
    <t>Чернівецька</t>
  </si>
  <si>
    <t>Чернігівська</t>
  </si>
  <si>
    <t>м. Київ</t>
  </si>
  <si>
    <t>Ukraine</t>
  </si>
  <si>
    <t>Vinnytsya</t>
  </si>
  <si>
    <t>Volyn</t>
  </si>
  <si>
    <t>Dnipropetrovsk</t>
  </si>
  <si>
    <t>Donetsk</t>
  </si>
  <si>
    <t>Zhytomyr</t>
  </si>
  <si>
    <t>Zakarpattya</t>
  </si>
  <si>
    <t>Zaporizhzhya</t>
  </si>
  <si>
    <t>Ivano-Frankivsk</t>
  </si>
  <si>
    <t>Kyiv</t>
  </si>
  <si>
    <t>Kirovohrad</t>
  </si>
  <si>
    <t>Luhansk</t>
  </si>
  <si>
    <t>Lviv</t>
  </si>
  <si>
    <t>Mykolayiv</t>
  </si>
  <si>
    <t>Odesa</t>
  </si>
  <si>
    <t>Poltava</t>
  </si>
  <si>
    <t>Rivne</t>
  </si>
  <si>
    <t>Sumy</t>
  </si>
  <si>
    <t>Ternopil</t>
  </si>
  <si>
    <t>Kharkiv</t>
  </si>
  <si>
    <t>Kherson</t>
  </si>
  <si>
    <t>Khmelnytskiy</t>
  </si>
  <si>
    <t>Cherkasy</t>
  </si>
  <si>
    <t>Chernivtsi</t>
  </si>
  <si>
    <t>Chernihiv</t>
  </si>
  <si>
    <t>City of Kyiv</t>
  </si>
  <si>
    <t>Month</t>
  </si>
  <si>
    <t>Average by type of activity</t>
  </si>
  <si>
    <t>Average by region</t>
  </si>
  <si>
    <t>Average by type of activity(men)</t>
  </si>
  <si>
    <t>Average by type of activity(women)</t>
  </si>
  <si>
    <t>Agriculture, forestry and fishing (men)</t>
  </si>
  <si>
    <t>Manufacturing(men)</t>
  </si>
  <si>
    <t>Construction(men)</t>
  </si>
  <si>
    <t>Wholesale and retail trade; repair of motor vehicles and motorcycles (men)</t>
  </si>
  <si>
    <t>Transportation and warehousing, postal and courier activities(men)</t>
  </si>
  <si>
    <t>Land transport and transport via pipelines(men)</t>
  </si>
  <si>
    <t>Water transport(men)</t>
  </si>
  <si>
    <t>Air transport(men)</t>
  </si>
  <si>
    <t>Warehousing and support activities for transportation(men)</t>
  </si>
  <si>
    <t>Postal and courier activities(men)</t>
  </si>
  <si>
    <t>Accommodation and food service activities (men)</t>
  </si>
  <si>
    <t>Information and communication (men)</t>
  </si>
  <si>
    <r>
      <t xml:space="preserve">Financial and insurance activities </t>
    </r>
    <r>
      <rPr>
        <sz val="11"/>
        <color theme="1"/>
        <rFont val="Calibri"/>
        <family val="2"/>
        <charset val="204"/>
        <scheme val="minor"/>
      </rPr>
      <t>(men)</t>
    </r>
  </si>
  <si>
    <t>Real estate activities (men)</t>
  </si>
  <si>
    <t>Professional, scientific and technical activities (men)</t>
  </si>
  <si>
    <t>Administrative and support service activities (men)</t>
  </si>
  <si>
    <t>Public administration and defence; compulsory social security  (men)</t>
  </si>
  <si>
    <t>Education(men)</t>
  </si>
  <si>
    <t>Human health and social work activities (men)</t>
  </si>
  <si>
    <t>Arts, sport, entertainment and recreation (men)</t>
  </si>
  <si>
    <t>arts, entertainment and recreation activities  (men)</t>
  </si>
  <si>
    <t>Libraries, archives, museums and other cultural activities(men)</t>
  </si>
  <si>
    <t>Other service activities (men)</t>
  </si>
  <si>
    <t>Agriculture, forestry and fishing (women)</t>
  </si>
  <si>
    <t>Manufacturing(women)</t>
  </si>
  <si>
    <t>Construction(women)</t>
  </si>
  <si>
    <t>Wholesale and retail trade; repair of motor vehicles and motorcycles (women)</t>
  </si>
  <si>
    <t>Transportation and warehousing, postal and courier activities(women)</t>
  </si>
  <si>
    <t>Land transport and transport via pipelines(women)</t>
  </si>
  <si>
    <t>Water transport(women)</t>
  </si>
  <si>
    <t>Air transport(women)</t>
  </si>
  <si>
    <t>Warehousing and support activities for transportation(women)</t>
  </si>
  <si>
    <t>Postal and courier activities(women)</t>
  </si>
  <si>
    <t>Accommodation and food service activities (women)</t>
  </si>
  <si>
    <t>Information and communication (women)</t>
  </si>
  <si>
    <t>Financial and insurance activities (women)</t>
  </si>
  <si>
    <t>Real estate activities (women)</t>
  </si>
  <si>
    <t>Professional, scientific and technical activities (women)</t>
  </si>
  <si>
    <t>Administrative and support service activities (women)</t>
  </si>
  <si>
    <t>Public administration and defence; compulsory social security  (women)</t>
  </si>
  <si>
    <t>Education(women)</t>
  </si>
  <si>
    <t>Human health and social work activities (women)</t>
  </si>
  <si>
    <t>Arts, sport, entertainment and recreation (women)</t>
  </si>
  <si>
    <t>arts, entertainment and recreation activities  (women)</t>
  </si>
  <si>
    <t>Libraries, archives, museums and other cultural activities(women)</t>
  </si>
  <si>
    <t>Other service activities (women)</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</si>
</sst>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sz val="11"/>
      <color theme="1"/>
      <name val="Calibri"/>
      <family val="2"/>
      <charset val="204"/>
      <scheme val="minor"/>
    </font>
    <font>
      <sz val="9"/>
      <color theme="1"/>
      <name val="Calibri"/>
      <family val="2"/>
      <charset val="204"/>
      <scheme val="minor"/>
    </font>
    <font>
      <b/>
      <sz val="11"/>
      <color theme="1"/>
      <name val="Calibri"/>
      <family val="2"/>
      <charset val="204"/>
      <scheme val="minor"/>
    </font>
    <font>
      <b/>
      <sz val="10"/>
      <color theme="1"/>
      <name val="Verdana"/>
      <family val="2"/>
      <charset val="204"/>
    </font>
    <font>
      <b/>
      <vertAlign val="superscript"/>
      <sz val="10"/>
      <color theme="1"/>
      <name val="Verdana"/>
      <family val="2"/>
      <charset val="204"/>
    </font>
    <font>
      <sz val="8"/>
      <color rgb="FF000000"/>
      <name val="Verdana"/>
      <family val="2"/>
      <charset val="204"/>
    </font>
    <font>
      <sz val="8"/>
      <color theme="1"/>
      <name val="Verdana"/>
      <family val="2"/>
      <charset val="204"/>
    </font>
    <font>
      <b/>
      <sz val="8"/>
      <color rgb="FF000000"/>
      <name val="Verdana"/>
      <family val="2"/>
      <charset val="204"/>
    </font>
    <font>
      <vertAlign val="superscript"/>
      <sz val="8"/>
      <color theme="1"/>
      <name val="Verdana"/>
      <family val="2"/>
      <charset val="204"/>
    </font>
    <font>
      <b/>
      <sz val="8"/>
      <color theme="1"/>
      <name val="Verdana"/>
      <family val="2"/>
      <charset val="204"/>
    </font>
    <font>
      <b/>
      <sz val="10"/>
      <color rgb="FF000000"/>
      <name val="Verdana"/>
      <family val="2"/>
      <charset val="204"/>
    </font>
    <font>
      <b/>
      <vertAlign val="superscript"/>
      <sz val="10"/>
      <color rgb="FF000000"/>
      <name val="Verdana"/>
      <family val="2"/>
      <charset val="204"/>
    </font>
    <font>
      <sz val="10"/>
      <color rgb="FF000000"/>
      <name val="Verdana"/>
      <family val="2"/>
      <charset val="204"/>
    </font>
    <font>
      <sz val="10"/>
      <color theme="1"/>
      <name val="Verdana"/>
      <family val="2"/>
      <charset val="204"/>
    </font>
    <font>
      <sz val="10"/>
      <color theme="1"/>
      <name val="Calibri"/>
      <family val="2"/>
      <charset val="204"/>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indexed="64"/>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s>
  <cellStyleXfs count="2">
    <xf numFmtId="0" fontId="0" fillId="0" borderId="0"/>
    <xf numFmtId="0" fontId="2" fillId="0" borderId="0"/>
  </cellStyleXfs>
  <cellXfs count="98">
    <xf numFmtId="0" fontId="0" fillId="0" borderId="0" xfId="0"/>
    <xf numFmtId="0" fontId="3" fillId="0" borderId="0" xfId="0" applyFont="1"/>
    <xf numFmtId="2" fontId="3" fillId="0" borderId="0" xfId="0" applyNumberFormat="1" applyFont="1" applyAlignment="1">
      <alignment vertical="top" wrapText="1"/>
    </xf>
    <xf numFmtId="2" fontId="0" fillId="0" borderId="0" xfId="0" applyNumberFormat="1"/>
    <xf numFmtId="2" fontId="3" fillId="0" borderId="0" xfId="0" applyNumberFormat="1" applyFont="1"/>
    <xf numFmtId="0" fontId="13" fillId="0" borderId="1" xfId="0" applyFont="1" applyBorder="1" applyAlignment="1">
      <alignment horizontal="center" vertical="center" wrapText="1"/>
    </xf>
    <xf numFmtId="0" fontId="4" fillId="0" borderId="6" xfId="0" applyFont="1" applyBorder="1" applyAlignment="1">
      <alignment vertical="center" wrapText="1"/>
    </xf>
    <xf numFmtId="0" fontId="14" fillId="0" borderId="1" xfId="0" applyFont="1" applyBorder="1" applyAlignment="1">
      <alignment vertical="center" wrapText="1"/>
    </xf>
    <xf numFmtId="2" fontId="6" fillId="0" borderId="0" xfId="1" applyNumberFormat="1" applyFont="1" applyAlignment="1">
      <alignment horizontal="right" vertical="center"/>
    </xf>
    <xf numFmtId="2" fontId="2" fillId="0" borderId="0" xfId="1" applyNumberFormat="1"/>
    <xf numFmtId="2" fontId="6" fillId="0" borderId="1" xfId="1" applyNumberFormat="1" applyFont="1" applyBorder="1" applyAlignment="1">
      <alignment horizontal="center" vertical="center" wrapText="1"/>
    </xf>
    <xf numFmtId="2" fontId="6" fillId="0" borderId="5" xfId="1" applyNumberFormat="1" applyFont="1" applyBorder="1" applyAlignment="1">
      <alignment horizontal="center" vertical="center" wrapText="1"/>
    </xf>
    <xf numFmtId="2" fontId="6" fillId="0" borderId="9" xfId="1" applyNumberFormat="1" applyFont="1" applyBorder="1" applyAlignment="1">
      <alignment horizontal="center" vertical="center" wrapText="1"/>
    </xf>
    <xf numFmtId="2" fontId="8" fillId="0" borderId="1" xfId="1" applyNumberFormat="1" applyFont="1" applyBorder="1" applyAlignment="1">
      <alignment vertical="center" wrapText="1"/>
    </xf>
    <xf numFmtId="2" fontId="8" fillId="0" borderId="2" xfId="1" applyNumberFormat="1" applyFont="1" applyBorder="1" applyAlignment="1">
      <alignment horizontal="right" wrapText="1"/>
    </xf>
    <xf numFmtId="2" fontId="10" fillId="0" borderId="3" xfId="1" applyNumberFormat="1" applyFont="1" applyBorder="1" applyAlignment="1">
      <alignment horizontal="right" wrapText="1"/>
    </xf>
    <xf numFmtId="2" fontId="10" fillId="0" borderId="6" xfId="1" applyNumberFormat="1" applyFont="1" applyBorder="1" applyAlignment="1">
      <alignment vertical="center" wrapText="1"/>
    </xf>
    <xf numFmtId="2" fontId="6" fillId="0" borderId="1" xfId="1" applyNumberFormat="1" applyFont="1" applyBorder="1" applyAlignment="1">
      <alignment vertical="center" wrapText="1"/>
    </xf>
    <xf numFmtId="2" fontId="6" fillId="0" borderId="2" xfId="1" applyNumberFormat="1" applyFont="1" applyBorder="1" applyAlignment="1">
      <alignment horizontal="right" wrapText="1"/>
    </xf>
    <xf numFmtId="2" fontId="7" fillId="0" borderId="3" xfId="1" applyNumberFormat="1" applyFont="1" applyBorder="1" applyAlignment="1">
      <alignment horizontal="right" wrapText="1"/>
    </xf>
    <xf numFmtId="2" fontId="7" fillId="0" borderId="1" xfId="1" applyNumberFormat="1" applyFont="1" applyBorder="1" applyAlignment="1">
      <alignment vertical="center" wrapText="1"/>
    </xf>
    <xf numFmtId="2" fontId="7" fillId="0" borderId="1" xfId="1" applyNumberFormat="1" applyFont="1" applyBorder="1" applyAlignment="1">
      <alignment horizontal="left" vertical="center" wrapText="1" indent="1"/>
    </xf>
    <xf numFmtId="2" fontId="6" fillId="0" borderId="1" xfId="1" applyNumberFormat="1" applyFont="1" applyBorder="1" applyAlignment="1">
      <alignment horizontal="left" vertical="center" wrapText="1" indent="1"/>
    </xf>
    <xf numFmtId="2" fontId="9" fillId="0" borderId="0" xfId="1" applyNumberFormat="1" applyFont="1" applyAlignment="1">
      <alignment horizontal="justify" vertical="center"/>
    </xf>
    <xf numFmtId="2" fontId="11" fillId="0" borderId="1" xfId="0" applyNumberFormat="1" applyFont="1" applyBorder="1" applyAlignment="1">
      <alignment vertical="center" wrapText="1"/>
    </xf>
    <xf numFmtId="2" fontId="13" fillId="0" borderId="1" xfId="0" applyNumberFormat="1" applyFont="1" applyBorder="1" applyAlignment="1">
      <alignment vertical="center" wrapText="1"/>
    </xf>
    <xf numFmtId="2" fontId="13" fillId="0" borderId="1" xfId="0" applyNumberFormat="1" applyFont="1" applyBorder="1" applyAlignment="1">
      <alignment horizontal="left" wrapText="1" indent="1"/>
    </xf>
    <xf numFmtId="2" fontId="13" fillId="0" borderId="1" xfId="0" applyNumberFormat="1" applyFont="1" applyBorder="1" applyAlignment="1">
      <alignment horizontal="left" vertical="center" wrapText="1" indent="1"/>
    </xf>
    <xf numFmtId="2" fontId="13" fillId="0" borderId="1" xfId="0" applyNumberFormat="1" applyFont="1" applyBorder="1" applyAlignment="1">
      <alignment horizontal="center" vertical="center" wrapText="1"/>
    </xf>
    <xf numFmtId="2" fontId="4" fillId="0" borderId="3" xfId="0" applyNumberFormat="1" applyFont="1" applyBorder="1" applyAlignment="1">
      <alignment horizontal="right" wrapText="1"/>
    </xf>
    <xf numFmtId="2" fontId="14" fillId="0" borderId="3" xfId="0" applyNumberFormat="1" applyFont="1" applyBorder="1" applyAlignment="1">
      <alignment horizontal="right" wrapText="1"/>
    </xf>
    <xf numFmtId="2" fontId="13" fillId="0" borderId="5" xfId="0" applyNumberFormat="1" applyFont="1" applyBorder="1" applyAlignment="1">
      <alignment horizontal="center" vertical="center" wrapText="1"/>
    </xf>
    <xf numFmtId="2" fontId="4" fillId="0" borderId="14" xfId="0" applyNumberFormat="1" applyFont="1" applyBorder="1" applyAlignment="1">
      <alignment horizontal="right" wrapText="1"/>
    </xf>
    <xf numFmtId="2" fontId="14" fillId="0" borderId="14" xfId="0" applyNumberFormat="1" applyFont="1" applyBorder="1" applyAlignment="1">
      <alignment horizontal="right" wrapText="1"/>
    </xf>
    <xf numFmtId="2" fontId="11" fillId="0" borderId="1" xfId="0" applyNumberFormat="1" applyFont="1" applyBorder="1" applyAlignment="1">
      <alignment horizontal="right" wrapText="1"/>
    </xf>
    <xf numFmtId="2" fontId="13" fillId="0" borderId="1" xfId="0" applyNumberFormat="1" applyFont="1" applyBorder="1" applyAlignment="1">
      <alignment horizontal="right" wrapText="1"/>
    </xf>
    <xf numFmtId="2" fontId="4" fillId="0" borderId="6" xfId="0" applyNumberFormat="1" applyFont="1" applyBorder="1" applyAlignment="1">
      <alignment vertical="center" wrapText="1"/>
    </xf>
    <xf numFmtId="2" fontId="14" fillId="0" borderId="1" xfId="0" applyNumberFormat="1" applyFont="1" applyBorder="1" applyAlignment="1">
      <alignment vertical="center" wrapText="1"/>
    </xf>
    <xf numFmtId="2" fontId="14" fillId="0" borderId="1" xfId="0" applyNumberFormat="1" applyFont="1" applyBorder="1" applyAlignment="1">
      <alignment horizontal="left" vertical="center" wrapText="1" indent="1"/>
    </xf>
    <xf numFmtId="2" fontId="13" fillId="0" borderId="3" xfId="0" applyNumberFormat="1" applyFont="1" applyBorder="1" applyAlignment="1">
      <alignment horizontal="right" wrapText="1"/>
    </xf>
    <xf numFmtId="2" fontId="2" fillId="2" borderId="0" xfId="1" applyNumberFormat="1" applyFill="1"/>
    <xf numFmtId="2" fontId="8" fillId="2" borderId="2" xfId="1" applyNumberFormat="1" applyFont="1" applyFill="1" applyBorder="1" applyAlignment="1">
      <alignment horizontal="right" wrapText="1"/>
    </xf>
    <xf numFmtId="2" fontId="6" fillId="2" borderId="2" xfId="1" applyNumberFormat="1" applyFont="1" applyFill="1" applyBorder="1" applyAlignment="1">
      <alignment horizontal="right" wrapText="1"/>
    </xf>
    <xf numFmtId="2" fontId="6" fillId="2" borderId="1" xfId="1" applyNumberFormat="1" applyFont="1" applyFill="1" applyBorder="1" applyAlignment="1">
      <alignment vertical="center" wrapText="1"/>
    </xf>
    <xf numFmtId="2" fontId="7" fillId="2" borderId="3" xfId="1" applyNumberFormat="1" applyFont="1" applyFill="1" applyBorder="1" applyAlignment="1">
      <alignment horizontal="right" wrapText="1"/>
    </xf>
    <xf numFmtId="2" fontId="7" fillId="2" borderId="1" xfId="1" applyNumberFormat="1" applyFont="1" applyFill="1" applyBorder="1" applyAlignment="1">
      <alignment vertical="center" wrapText="1"/>
    </xf>
    <xf numFmtId="2" fontId="13" fillId="2" borderId="1" xfId="0" applyNumberFormat="1" applyFont="1" applyFill="1" applyBorder="1" applyAlignment="1">
      <alignment vertical="center" wrapText="1"/>
    </xf>
    <xf numFmtId="2" fontId="14" fillId="2" borderId="3" xfId="0" applyNumberFormat="1" applyFont="1" applyFill="1" applyBorder="1" applyAlignment="1">
      <alignment horizontal="right" wrapText="1"/>
    </xf>
    <xf numFmtId="2" fontId="14" fillId="2" borderId="14" xfId="0" applyNumberFormat="1" applyFont="1" applyFill="1" applyBorder="1" applyAlignment="1">
      <alignment horizontal="right" wrapText="1"/>
    </xf>
    <xf numFmtId="2" fontId="13" fillId="2" borderId="1" xfId="0" applyNumberFormat="1" applyFont="1" applyFill="1" applyBorder="1" applyAlignment="1">
      <alignment horizontal="right" wrapText="1"/>
    </xf>
    <xf numFmtId="2" fontId="14" fillId="2" borderId="1" xfId="0" applyNumberFormat="1" applyFont="1" applyFill="1" applyBorder="1" applyAlignment="1">
      <alignment horizontal="left" vertical="center" wrapText="1" indent="1"/>
    </xf>
    <xf numFmtId="2" fontId="0" fillId="2" borderId="0" xfId="0" applyNumberFormat="1" applyFill="1"/>
    <xf numFmtId="2" fontId="13" fillId="2" borderId="1" xfId="0" applyNumberFormat="1" applyFont="1" applyFill="1" applyBorder="1" applyAlignment="1">
      <alignment wrapText="1"/>
    </xf>
    <xf numFmtId="2" fontId="13" fillId="0" borderId="2" xfId="0" applyNumberFormat="1" applyFont="1" applyBorder="1" applyAlignment="1">
      <alignment horizontal="right" wrapText="1"/>
    </xf>
    <xf numFmtId="2" fontId="0" fillId="0" borderId="3" xfId="0" applyNumberFormat="1" applyBorder="1"/>
    <xf numFmtId="0" fontId="4" fillId="0" borderId="1" xfId="0" applyFont="1" applyBorder="1" applyAlignment="1">
      <alignment vertical="center" wrapText="1"/>
    </xf>
    <xf numFmtId="1" fontId="4" fillId="0" borderId="3" xfId="0" applyNumberFormat="1" applyFont="1" applyBorder="1" applyAlignment="1">
      <alignment horizontal="right" vertical="center" wrapText="1"/>
    </xf>
    <xf numFmtId="1" fontId="14" fillId="0" borderId="3" xfId="0" applyNumberFormat="1" applyFont="1" applyBorder="1" applyAlignment="1">
      <alignment horizontal="right" vertical="center" wrapText="1"/>
    </xf>
    <xf numFmtId="1" fontId="4" fillId="0" borderId="1" xfId="0" applyNumberFormat="1" applyFont="1" applyBorder="1" applyAlignment="1">
      <alignment vertical="center" wrapText="1"/>
    </xf>
    <xf numFmtId="1" fontId="14" fillId="0" borderId="1" xfId="0" applyNumberFormat="1" applyFont="1" applyBorder="1" applyAlignment="1">
      <alignment vertical="center" wrapText="1"/>
    </xf>
    <xf numFmtId="0" fontId="15" fillId="0" borderId="11" xfId="0" applyFont="1" applyBorder="1"/>
    <xf numFmtId="0" fontId="15" fillId="0" borderId="12" xfId="0" applyFont="1" applyBorder="1"/>
    <xf numFmtId="0" fontId="13" fillId="0" borderId="15" xfId="0" applyFont="1" applyBorder="1" applyAlignment="1">
      <alignment horizontal="center" vertical="center" wrapText="1"/>
    </xf>
    <xf numFmtId="0" fontId="14" fillId="0" borderId="15" xfId="0" applyFont="1" applyBorder="1" applyAlignment="1">
      <alignment horizontal="center" vertical="center" wrapText="1"/>
    </xf>
    <xf numFmtId="0" fontId="3" fillId="0" borderId="0" xfId="0" applyFont="1" applyBorder="1" applyAlignment="1">
      <alignment vertical="center" wrapText="1"/>
    </xf>
    <xf numFmtId="0" fontId="4" fillId="0" borderId="0" xfId="0" applyFont="1" applyBorder="1" applyAlignment="1">
      <alignment vertical="center" wrapText="1"/>
    </xf>
    <xf numFmtId="0" fontId="16" fillId="0" borderId="0" xfId="0" applyFont="1" applyBorder="1" applyAlignment="1">
      <alignment vertical="center" wrapText="1"/>
    </xf>
    <xf numFmtId="2" fontId="14" fillId="0" borderId="2" xfId="0" applyNumberFormat="1" applyFont="1" applyBorder="1" applyAlignment="1">
      <alignment horizontal="center" vertical="center" wrapText="1"/>
    </xf>
    <xf numFmtId="2" fontId="14" fillId="0" borderId="4" xfId="0" applyNumberFormat="1" applyFont="1" applyBorder="1" applyAlignment="1">
      <alignment horizontal="center" vertical="center" wrapText="1"/>
    </xf>
    <xf numFmtId="0" fontId="13" fillId="0" borderId="7" xfId="0" applyFont="1" applyBorder="1" applyAlignment="1">
      <alignment horizontal="center" vertical="center" wrapText="1"/>
    </xf>
    <xf numFmtId="0" fontId="13" fillId="0" borderId="6" xfId="0" applyFont="1" applyBorder="1" applyAlignment="1">
      <alignment horizontal="center" vertical="center" wrapText="1"/>
    </xf>
    <xf numFmtId="2" fontId="14" fillId="0" borderId="8" xfId="0" applyNumberFormat="1" applyFont="1" applyBorder="1" applyAlignment="1">
      <alignment horizontal="center" vertical="center" wrapText="1"/>
    </xf>
    <xf numFmtId="2" fontId="15" fillId="0" borderId="10" xfId="0" applyNumberFormat="1" applyFont="1" applyBorder="1" applyAlignment="1">
      <alignment horizontal="center" vertical="center"/>
    </xf>
    <xf numFmtId="2" fontId="15" fillId="0" borderId="12" xfId="0" applyNumberFormat="1" applyFont="1" applyBorder="1" applyAlignment="1">
      <alignment horizontal="center" vertical="center"/>
    </xf>
    <xf numFmtId="2" fontId="13" fillId="0" borderId="2" xfId="0" applyNumberFormat="1" applyFont="1" applyBorder="1" applyAlignment="1">
      <alignment horizontal="center" vertical="center" wrapText="1"/>
    </xf>
    <xf numFmtId="2" fontId="13" fillId="0" borderId="4" xfId="0" applyNumberFormat="1" applyFont="1" applyBorder="1" applyAlignment="1">
      <alignment horizontal="center" vertical="center" wrapText="1"/>
    </xf>
    <xf numFmtId="2" fontId="6" fillId="0" borderId="2" xfId="1" applyNumberFormat="1" applyFont="1" applyBorder="1" applyAlignment="1">
      <alignment horizontal="center" vertical="center" wrapText="1"/>
    </xf>
    <xf numFmtId="2" fontId="6" fillId="0" borderId="8" xfId="1" applyNumberFormat="1" applyFont="1" applyBorder="1" applyAlignment="1">
      <alignment horizontal="center" vertical="center" wrapText="1"/>
    </xf>
    <xf numFmtId="2" fontId="7" fillId="0" borderId="5" xfId="1" applyNumberFormat="1" applyFont="1" applyBorder="1" applyAlignment="1">
      <alignment horizontal="center" vertical="center" wrapText="1"/>
    </xf>
    <xf numFmtId="2" fontId="2" fillId="0" borderId="6" xfId="1" applyNumberFormat="1" applyBorder="1" applyAlignment="1">
      <alignment horizontal="center" vertical="center" wrapText="1"/>
    </xf>
    <xf numFmtId="2" fontId="2" fillId="0" borderId="10" xfId="1" applyNumberFormat="1" applyBorder="1" applyAlignment="1">
      <alignment horizontal="center"/>
    </xf>
    <xf numFmtId="2" fontId="2" fillId="0" borderId="11" xfId="1" applyNumberFormat="1" applyBorder="1" applyAlignment="1">
      <alignment horizontal="center"/>
    </xf>
    <xf numFmtId="2" fontId="2" fillId="0" borderId="12" xfId="1" applyNumberFormat="1" applyBorder="1" applyAlignment="1">
      <alignment horizontal="center"/>
    </xf>
    <xf numFmtId="2" fontId="13" fillId="0" borderId="13" xfId="0" applyNumberFormat="1" applyFont="1" applyBorder="1" applyAlignment="1">
      <alignment horizontal="center" vertical="center" wrapText="1"/>
    </xf>
    <xf numFmtId="2" fontId="13" fillId="0" borderId="6" xfId="0" applyNumberFormat="1" applyFont="1" applyBorder="1" applyAlignment="1">
      <alignment horizontal="center" vertical="center" wrapText="1"/>
    </xf>
    <xf numFmtId="2" fontId="6" fillId="0" borderId="2" xfId="1" applyNumberFormat="1" applyFont="1" applyBorder="1" applyAlignment="1">
      <alignment horizontal="center" vertical="center"/>
    </xf>
    <xf numFmtId="2" fontId="6" fillId="0" borderId="8" xfId="1" applyNumberFormat="1" applyFont="1" applyBorder="1" applyAlignment="1">
      <alignment horizontal="center" vertical="center"/>
    </xf>
    <xf numFmtId="2" fontId="6" fillId="0" borderId="4" xfId="1" applyNumberFormat="1" applyFont="1" applyBorder="1" applyAlignment="1">
      <alignment horizontal="center" vertical="center"/>
    </xf>
    <xf numFmtId="2" fontId="6" fillId="0" borderId="4" xfId="1" applyNumberFormat="1" applyFont="1" applyBorder="1" applyAlignment="1">
      <alignment horizontal="center" vertical="center" wrapText="1"/>
    </xf>
    <xf numFmtId="2" fontId="6" fillId="0" borderId="5" xfId="1" applyNumberFormat="1" applyFont="1" applyBorder="1" applyAlignment="1">
      <alignment horizontal="center" vertical="center" wrapText="1"/>
    </xf>
    <xf numFmtId="2" fontId="6" fillId="0" borderId="7" xfId="1" applyNumberFormat="1" applyFont="1" applyBorder="1" applyAlignment="1">
      <alignment horizontal="center" vertical="center" wrapText="1"/>
    </xf>
    <xf numFmtId="2" fontId="9" fillId="0" borderId="0" xfId="1" applyNumberFormat="1" applyFont="1" applyFill="1" applyAlignment="1">
      <alignment horizontal="left" vertical="center" wrapText="1"/>
    </xf>
    <xf numFmtId="2" fontId="4" fillId="0" borderId="0" xfId="1" applyNumberFormat="1" applyFont="1" applyAlignment="1">
      <alignment horizontal="center" vertical="center"/>
    </xf>
    <xf numFmtId="2" fontId="11" fillId="0" borderId="0" xfId="1" applyNumberFormat="1" applyFont="1" applyFill="1" applyAlignment="1">
      <alignment horizontal="center" vertical="center"/>
    </xf>
    <xf numFmtId="2" fontId="6" fillId="0" borderId="0" xfId="1" applyNumberFormat="1" applyFont="1" applyBorder="1" applyAlignment="1">
      <alignment horizontal="right" vertical="center"/>
    </xf>
    <xf numFmtId="2" fontId="9" fillId="0" borderId="0" xfId="1" applyNumberFormat="1" applyFont="1" applyAlignment="1">
      <alignment horizontal="left" wrapText="1"/>
    </xf>
    <xf numFmtId="2" fontId="7" fillId="2" borderId="5" xfId="1" applyNumberFormat="1" applyFont="1" applyFill="1" applyBorder="1" applyAlignment="1">
      <alignment horizontal="center" vertical="center" wrapText="1"/>
    </xf>
    <xf numFmtId="2" fontId="2" fillId="2" borderId="6" xfId="1" applyNumberFormat="1" applyFill="1" applyBorder="1" applyAlignment="1">
      <alignment horizontal="center" vertical="center" wrapText="1"/>
    </xf>
  </cellXfs>
  <cellStyles count="2">
    <cellStyle name="Обычный" xfId="0" builtinId="0"/>
    <cellStyle name="Обычный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3"/>
  <sheetViews>
    <sheetView tabSelected="1" topLeftCell="BF1" workbookViewId="0">
      <selection activeCell="CT23" sqref="CT23"/>
    </sheetView>
  </sheetViews>
  <sheetFormatPr defaultColWidth="13.6640625" defaultRowHeight="14.4" x14ac:dyDescent="0.3"/>
  <cols>
    <col min="2" max="2" width="23.77734375" bestFit="1" customWidth="1"/>
    <col min="26" max="26" width="20.44140625" bestFit="1" customWidth="1"/>
    <col min="52" max="52" width="29" bestFit="1" customWidth="1"/>
    <col min="76" max="76" width="31.6640625" bestFit="1" customWidth="1"/>
  </cols>
  <sheetData>
    <row r="1" spans="1:99" s="66" customFormat="1" ht="100.8" x14ac:dyDescent="0.3">
      <c r="A1" s="64" t="s">
        <v>152</v>
      </c>
      <c r="B1" s="64" t="s">
        <v>153</v>
      </c>
      <c r="C1" s="64" t="s">
        <v>2</v>
      </c>
      <c r="D1" s="64" t="s">
        <v>3</v>
      </c>
      <c r="E1" s="64" t="s">
        <v>4</v>
      </c>
      <c r="F1" s="64" t="s">
        <v>5</v>
      </c>
      <c r="G1" s="64" t="s">
        <v>6</v>
      </c>
      <c r="H1" s="64" t="s">
        <v>7</v>
      </c>
      <c r="I1" s="64" t="s">
        <v>8</v>
      </c>
      <c r="J1" s="64" t="s">
        <v>9</v>
      </c>
      <c r="K1" s="64" t="s">
        <v>10</v>
      </c>
      <c r="L1" s="64" t="s">
        <v>11</v>
      </c>
      <c r="M1" s="64" t="s">
        <v>12</v>
      </c>
      <c r="N1" s="64" t="s">
        <v>13</v>
      </c>
      <c r="O1" s="64" t="s">
        <v>14</v>
      </c>
      <c r="P1" s="64" t="s">
        <v>15</v>
      </c>
      <c r="Q1" s="64" t="s">
        <v>16</v>
      </c>
      <c r="R1" s="64" t="s">
        <v>17</v>
      </c>
      <c r="S1" s="64" t="s">
        <v>18</v>
      </c>
      <c r="T1" s="64" t="s">
        <v>19</v>
      </c>
      <c r="U1" s="64" t="s">
        <v>20</v>
      </c>
      <c r="V1" s="64" t="s">
        <v>21</v>
      </c>
      <c r="W1" s="64" t="s">
        <v>22</v>
      </c>
      <c r="X1" s="64" t="s">
        <v>23</v>
      </c>
      <c r="Y1" s="64" t="s">
        <v>24</v>
      </c>
      <c r="Z1" s="65" t="s">
        <v>154</v>
      </c>
      <c r="AA1" s="65" t="s">
        <v>127</v>
      </c>
      <c r="AB1" s="65" t="s">
        <v>128</v>
      </c>
      <c r="AC1" s="65" t="s">
        <v>129</v>
      </c>
      <c r="AD1" s="65" t="s">
        <v>130</v>
      </c>
      <c r="AE1" s="65" t="s">
        <v>131</v>
      </c>
      <c r="AF1" s="65" t="s">
        <v>132</v>
      </c>
      <c r="AG1" s="65" t="s">
        <v>133</v>
      </c>
      <c r="AH1" s="65" t="s">
        <v>134</v>
      </c>
      <c r="AI1" s="65" t="s">
        <v>135</v>
      </c>
      <c r="AJ1" s="65" t="s">
        <v>136</v>
      </c>
      <c r="AK1" s="65" t="s">
        <v>137</v>
      </c>
      <c r="AL1" s="65" t="s">
        <v>138</v>
      </c>
      <c r="AM1" s="65" t="s">
        <v>139</v>
      </c>
      <c r="AN1" s="65" t="s">
        <v>140</v>
      </c>
      <c r="AO1" s="65" t="s">
        <v>141</v>
      </c>
      <c r="AP1" s="65" t="s">
        <v>142</v>
      </c>
      <c r="AQ1" s="65" t="s">
        <v>143</v>
      </c>
      <c r="AR1" s="65" t="s">
        <v>144</v>
      </c>
      <c r="AS1" s="65" t="s">
        <v>145</v>
      </c>
      <c r="AT1" s="65" t="s">
        <v>146</v>
      </c>
      <c r="AU1" s="65" t="s">
        <v>147</v>
      </c>
      <c r="AV1" s="65" t="s">
        <v>148</v>
      </c>
      <c r="AW1" s="65" t="s">
        <v>149</v>
      </c>
      <c r="AX1" s="65" t="s">
        <v>150</v>
      </c>
      <c r="AY1" s="65" t="s">
        <v>151</v>
      </c>
      <c r="AZ1" s="66" t="s">
        <v>155</v>
      </c>
      <c r="BA1" s="66" t="s">
        <v>157</v>
      </c>
      <c r="BB1" s="66" t="s">
        <v>158</v>
      </c>
      <c r="BC1" s="66" t="s">
        <v>159</v>
      </c>
      <c r="BD1" s="66" t="s">
        <v>160</v>
      </c>
      <c r="BE1" s="66" t="s">
        <v>161</v>
      </c>
      <c r="BF1" s="66" t="s">
        <v>162</v>
      </c>
      <c r="BG1" s="66" t="s">
        <v>163</v>
      </c>
      <c r="BH1" s="66" t="s">
        <v>164</v>
      </c>
      <c r="BI1" s="66" t="s">
        <v>165</v>
      </c>
      <c r="BJ1" s="66" t="s">
        <v>166</v>
      </c>
      <c r="BK1" s="66" t="s">
        <v>167</v>
      </c>
      <c r="BL1" s="66" t="s">
        <v>168</v>
      </c>
      <c r="BM1" s="66" t="s">
        <v>169</v>
      </c>
      <c r="BN1" s="66" t="s">
        <v>170</v>
      </c>
      <c r="BO1" s="66" t="s">
        <v>171</v>
      </c>
      <c r="BP1" s="66" t="s">
        <v>172</v>
      </c>
      <c r="BQ1" s="66" t="s">
        <v>173</v>
      </c>
      <c r="BR1" s="66" t="s">
        <v>174</v>
      </c>
      <c r="BS1" s="66" t="s">
        <v>175</v>
      </c>
      <c r="BT1" s="66" t="s">
        <v>176</v>
      </c>
      <c r="BU1" s="66" t="s">
        <v>177</v>
      </c>
      <c r="BV1" s="66" t="s">
        <v>178</v>
      </c>
      <c r="BW1" s="66" t="s">
        <v>179</v>
      </c>
      <c r="BX1" s="66" t="s">
        <v>156</v>
      </c>
      <c r="BY1" s="66" t="s">
        <v>180</v>
      </c>
      <c r="BZ1" s="66" t="s">
        <v>181</v>
      </c>
      <c r="CA1" s="66" t="s">
        <v>182</v>
      </c>
      <c r="CB1" s="66" t="s">
        <v>183</v>
      </c>
      <c r="CC1" s="66" t="s">
        <v>184</v>
      </c>
      <c r="CD1" s="66" t="s">
        <v>185</v>
      </c>
      <c r="CE1" s="66" t="s">
        <v>186</v>
      </c>
      <c r="CF1" s="66" t="s">
        <v>187</v>
      </c>
      <c r="CG1" s="66" t="s">
        <v>188</v>
      </c>
      <c r="CH1" s="66" t="s">
        <v>189</v>
      </c>
      <c r="CI1" s="66" t="s">
        <v>190</v>
      </c>
      <c r="CJ1" s="66" t="s">
        <v>191</v>
      </c>
      <c r="CK1" s="66" t="s">
        <v>192</v>
      </c>
      <c r="CL1" s="66" t="s">
        <v>193</v>
      </c>
      <c r="CM1" s="66" t="s">
        <v>194</v>
      </c>
      <c r="CN1" s="66" t="s">
        <v>195</v>
      </c>
      <c r="CO1" s="66" t="s">
        <v>196</v>
      </c>
      <c r="CP1" s="66" t="s">
        <v>197</v>
      </c>
      <c r="CQ1" s="66" t="s">
        <v>198</v>
      </c>
      <c r="CR1" s="66" t="s">
        <v>199</v>
      </c>
      <c r="CS1" s="66" t="s">
        <v>200</v>
      </c>
      <c r="CT1" s="66" t="s">
        <v>201</v>
      </c>
      <c r="CU1" s="66" t="s">
        <v>202</v>
      </c>
    </row>
    <row r="2" spans="1:99" x14ac:dyDescent="0.3">
      <c r="A2" t="s">
        <v>26</v>
      </c>
      <c r="B2" s="1">
        <v>12336.78</v>
      </c>
      <c r="C2">
        <v>9564.56</v>
      </c>
      <c r="D2">
        <v>13373.67</v>
      </c>
      <c r="E2">
        <v>9238.3700000000008</v>
      </c>
      <c r="F2">
        <v>11897.86</v>
      </c>
      <c r="G2">
        <v>12209.7</v>
      </c>
      <c r="H2">
        <v>11765.71</v>
      </c>
      <c r="I2">
        <v>12603.53</v>
      </c>
      <c r="J2">
        <v>22393.93</v>
      </c>
      <c r="K2">
        <v>13157.74</v>
      </c>
      <c r="L2">
        <v>7523.96</v>
      </c>
      <c r="M2">
        <v>6647.06</v>
      </c>
      <c r="N2">
        <v>21941.06</v>
      </c>
      <c r="O2">
        <v>24095.360000000001</v>
      </c>
      <c r="P2">
        <v>9683.1299999999992</v>
      </c>
      <c r="Q2">
        <v>16602.43</v>
      </c>
      <c r="R2">
        <v>10303.790000000001</v>
      </c>
      <c r="S2">
        <v>15230.55</v>
      </c>
      <c r="T2">
        <v>10310.43</v>
      </c>
      <c r="U2">
        <v>10572.79</v>
      </c>
      <c r="V2">
        <v>10436.530000000001</v>
      </c>
      <c r="W2">
        <v>9706.14</v>
      </c>
      <c r="X2">
        <v>8971.19</v>
      </c>
      <c r="Y2">
        <v>11656.71</v>
      </c>
      <c r="Z2" s="1">
        <v>12336.78</v>
      </c>
      <c r="AA2">
        <v>10750.85</v>
      </c>
      <c r="AB2">
        <v>10047.56</v>
      </c>
      <c r="AC2">
        <v>12743.52</v>
      </c>
      <c r="AD2">
        <v>13785.71</v>
      </c>
      <c r="AE2">
        <v>10111.219999999999</v>
      </c>
      <c r="AF2">
        <v>10416.64</v>
      </c>
      <c r="AG2">
        <v>12542.14</v>
      </c>
      <c r="AH2">
        <v>10558.19</v>
      </c>
      <c r="AI2">
        <v>12644.59</v>
      </c>
      <c r="AJ2">
        <v>9779.83</v>
      </c>
      <c r="AK2">
        <v>10324.1</v>
      </c>
      <c r="AL2">
        <v>11037.88</v>
      </c>
      <c r="AM2">
        <v>12534.96</v>
      </c>
      <c r="AN2">
        <v>10995.02</v>
      </c>
      <c r="AO2">
        <v>11352.79</v>
      </c>
      <c r="AP2">
        <v>11405.97</v>
      </c>
      <c r="AQ2">
        <v>10306.42</v>
      </c>
      <c r="AR2">
        <v>9921.7199999999993</v>
      </c>
      <c r="AS2">
        <v>10363.84</v>
      </c>
      <c r="AT2">
        <v>9971.0300000000007</v>
      </c>
      <c r="AU2">
        <v>10725.16</v>
      </c>
      <c r="AV2">
        <v>10460.200000000001</v>
      </c>
      <c r="AW2">
        <v>9696.2999999999993</v>
      </c>
      <c r="AX2">
        <v>9876.93</v>
      </c>
      <c r="AY2">
        <v>17533.23</v>
      </c>
      <c r="AZ2" s="4">
        <v>14008.94</v>
      </c>
      <c r="BA2" s="3">
        <v>10162.789234244869</v>
      </c>
      <c r="BB2" s="3">
        <v>15041.396439762097</v>
      </c>
      <c r="BC2" s="3">
        <v>9791.7042340510852</v>
      </c>
      <c r="BD2" s="3">
        <v>13766.283596605319</v>
      </c>
      <c r="BE2" s="3">
        <v>13013.215716468829</v>
      </c>
      <c r="BF2" s="3">
        <v>11488.995589348968</v>
      </c>
      <c r="BG2" s="3">
        <v>12590.496513375314</v>
      </c>
      <c r="BH2" s="3">
        <v>26647.56741879688</v>
      </c>
      <c r="BI2" s="3">
        <v>13853.487939100432</v>
      </c>
      <c r="BJ2" s="3">
        <v>10524.876336899935</v>
      </c>
      <c r="BK2" s="3">
        <v>7928.8949195971009</v>
      </c>
      <c r="BL2" s="3">
        <v>26584.524539270358</v>
      </c>
      <c r="BM2" s="3">
        <v>29656.162936243309</v>
      </c>
      <c r="BN2" s="3">
        <v>10195.602721657853</v>
      </c>
      <c r="BO2" s="3">
        <v>19741.940790178436</v>
      </c>
      <c r="BP2" s="3">
        <v>10499.747852658031</v>
      </c>
      <c r="BQ2" s="3">
        <v>16646.315366938867</v>
      </c>
      <c r="BR2" s="3">
        <v>10951.326693291232</v>
      </c>
      <c r="BS2" s="3">
        <v>12562.368256014177</v>
      </c>
      <c r="BT2" s="3">
        <v>14551.122613074816</v>
      </c>
      <c r="BU2" s="3">
        <v>11846.682239276515</v>
      </c>
      <c r="BV2" s="3">
        <v>9922.6715666936307</v>
      </c>
      <c r="BW2" s="3">
        <v>12548.380441694851</v>
      </c>
      <c r="BX2" s="4">
        <v>11520.1427</v>
      </c>
      <c r="BY2" s="3">
        <v>9046.8184958255752</v>
      </c>
      <c r="BZ2" s="3">
        <v>11215.284747733076</v>
      </c>
      <c r="CA2" s="3">
        <v>9160.4425945440453</v>
      </c>
      <c r="CB2" s="3">
        <v>11208.832901584334</v>
      </c>
      <c r="CC2" s="3">
        <v>10252.275333800115</v>
      </c>
      <c r="CD2" s="3">
        <v>10781.56611068394</v>
      </c>
      <c r="CE2" s="3">
        <v>13002.987870554103</v>
      </c>
      <c r="CF2" s="3">
        <v>17110.199590109893</v>
      </c>
      <c r="CG2" s="3">
        <v>11363.885939353109</v>
      </c>
      <c r="CH2" s="3">
        <v>7096.555137633477</v>
      </c>
      <c r="CI2" s="3">
        <v>7017.1148344903077</v>
      </c>
      <c r="CJ2" s="3">
        <v>19276.131203577148</v>
      </c>
      <c r="CK2" s="3">
        <v>20315.127659238162</v>
      </c>
      <c r="CL2" s="3">
        <v>9761.8784800017602</v>
      </c>
      <c r="CM2" s="3">
        <v>15185.427161470721</v>
      </c>
      <c r="CN2" s="3">
        <v>10470.608227637173</v>
      </c>
      <c r="CO2" s="3">
        <v>15079.408527114689</v>
      </c>
      <c r="CP2" s="3">
        <v>10584.55273689485</v>
      </c>
      <c r="CQ2" s="3">
        <v>10715.852669626893</v>
      </c>
      <c r="CR2" s="3">
        <v>9543.0960021768824</v>
      </c>
      <c r="CS2" s="3">
        <v>9515.0233417026557</v>
      </c>
      <c r="CT2" s="3">
        <v>9017.2779777254182</v>
      </c>
      <c r="CU2" s="3">
        <v>11414.009987768355</v>
      </c>
    </row>
    <row r="3" spans="1:99" x14ac:dyDescent="0.3">
      <c r="A3" t="s">
        <v>25</v>
      </c>
      <c r="B3" s="1">
        <v>12548.85</v>
      </c>
      <c r="C3">
        <v>9596.17</v>
      </c>
      <c r="D3">
        <v>13196.58</v>
      </c>
      <c r="E3">
        <v>9844.68</v>
      </c>
      <c r="F3">
        <v>12245.56</v>
      </c>
      <c r="G3">
        <v>11728.02</v>
      </c>
      <c r="H3">
        <v>10939.9</v>
      </c>
      <c r="I3">
        <v>12251.75</v>
      </c>
      <c r="J3">
        <v>22613.22</v>
      </c>
      <c r="K3">
        <v>12846.29</v>
      </c>
      <c r="L3">
        <v>7435.67</v>
      </c>
      <c r="M3">
        <v>7892.34</v>
      </c>
      <c r="N3">
        <v>23001.27</v>
      </c>
      <c r="O3">
        <v>22319.01</v>
      </c>
      <c r="P3">
        <v>10379.76</v>
      </c>
      <c r="Q3">
        <v>17550.21</v>
      </c>
      <c r="R3">
        <v>10414.19</v>
      </c>
      <c r="S3">
        <v>15929.49</v>
      </c>
      <c r="T3">
        <v>11025.77</v>
      </c>
      <c r="U3">
        <v>10959.74</v>
      </c>
      <c r="V3">
        <v>11887.52</v>
      </c>
      <c r="W3">
        <v>10927.01</v>
      </c>
      <c r="X3">
        <v>9302.2900000000009</v>
      </c>
      <c r="Y3">
        <v>11648.07</v>
      </c>
      <c r="Z3" s="1">
        <v>12548.85</v>
      </c>
      <c r="AA3">
        <v>10927.35</v>
      </c>
      <c r="AB3">
        <v>10231.870000000001</v>
      </c>
      <c r="AC3">
        <v>12321.54</v>
      </c>
      <c r="AD3">
        <v>13223.52</v>
      </c>
      <c r="AE3">
        <v>10205.709999999999</v>
      </c>
      <c r="AF3">
        <v>11043.31</v>
      </c>
      <c r="AG3">
        <v>12422.04</v>
      </c>
      <c r="AH3">
        <v>10771.53</v>
      </c>
      <c r="AI3">
        <v>12746.98</v>
      </c>
      <c r="AJ3">
        <v>9902.6</v>
      </c>
      <c r="AK3">
        <v>11175.53</v>
      </c>
      <c r="AL3">
        <v>11139.03</v>
      </c>
      <c r="AM3">
        <v>12392.33</v>
      </c>
      <c r="AN3">
        <v>11232.59</v>
      </c>
      <c r="AO3">
        <v>11538.4</v>
      </c>
      <c r="AP3">
        <v>11266.9</v>
      </c>
      <c r="AQ3">
        <v>10407.85</v>
      </c>
      <c r="AR3">
        <v>10280.07</v>
      </c>
      <c r="AS3">
        <v>10795.92</v>
      </c>
      <c r="AT3">
        <v>10105.92</v>
      </c>
      <c r="AU3">
        <v>10941.95</v>
      </c>
      <c r="AV3">
        <v>10587.5</v>
      </c>
      <c r="AW3">
        <v>10155.700000000001</v>
      </c>
      <c r="AX3">
        <v>10122.19</v>
      </c>
      <c r="AY3">
        <v>18504.48</v>
      </c>
      <c r="AZ3" s="4">
        <v>14191.09</v>
      </c>
      <c r="BA3" s="3">
        <v>10294.93</v>
      </c>
      <c r="BB3" s="3">
        <v>15312.32</v>
      </c>
      <c r="BC3" s="3">
        <v>9919.02</v>
      </c>
      <c r="BD3" s="3">
        <v>14014.24</v>
      </c>
      <c r="BE3" s="3">
        <v>13169.88</v>
      </c>
      <c r="BF3" s="3">
        <v>11627.31</v>
      </c>
      <c r="BG3" s="3">
        <v>12826.03</v>
      </c>
      <c r="BH3" s="3">
        <v>26998.48</v>
      </c>
      <c r="BI3" s="3">
        <v>14047.78</v>
      </c>
      <c r="BJ3" s="3">
        <v>10692.38</v>
      </c>
      <c r="BK3" s="3">
        <v>8043.12</v>
      </c>
      <c r="BL3" s="3">
        <v>26765.1</v>
      </c>
      <c r="BM3" s="3">
        <v>30045.75</v>
      </c>
      <c r="BN3" s="3">
        <v>10372.299999999999</v>
      </c>
      <c r="BO3" s="3">
        <v>20199.39</v>
      </c>
      <c r="BP3" s="3">
        <v>10563.79</v>
      </c>
      <c r="BQ3" s="3">
        <v>16943.87</v>
      </c>
      <c r="BR3" s="3">
        <v>11050.98</v>
      </c>
      <c r="BS3" s="3">
        <v>12782.78</v>
      </c>
      <c r="BT3" s="3">
        <v>14709.25</v>
      </c>
      <c r="BU3" s="3">
        <v>12045.22</v>
      </c>
      <c r="BV3" s="3">
        <v>10066.11</v>
      </c>
      <c r="BW3" s="3">
        <v>12705.72</v>
      </c>
      <c r="BX3" s="4">
        <v>11669.87</v>
      </c>
      <c r="BY3" s="3">
        <v>9164.4</v>
      </c>
      <c r="BZ3" s="3">
        <v>11417.25</v>
      </c>
      <c r="CA3" s="3">
        <v>9270.7800000000007</v>
      </c>
      <c r="CB3" s="3">
        <v>11418.6</v>
      </c>
      <c r="CC3" s="3">
        <v>10387.32</v>
      </c>
      <c r="CD3" s="3">
        <v>10932.83</v>
      </c>
      <c r="CE3" s="3">
        <v>13209.87</v>
      </c>
      <c r="CF3" s="3">
        <v>17356.71</v>
      </c>
      <c r="CG3" s="3">
        <v>11441.09</v>
      </c>
      <c r="CH3" s="3">
        <v>7189.73</v>
      </c>
      <c r="CI3" s="3">
        <v>7138.65</v>
      </c>
      <c r="CJ3" s="3">
        <v>19723.02</v>
      </c>
      <c r="CK3" s="3">
        <v>20454.349999999999</v>
      </c>
      <c r="CL3" s="3">
        <v>9821.44</v>
      </c>
      <c r="CM3" s="3">
        <v>15456.9</v>
      </c>
      <c r="CN3" s="3">
        <v>10565.86</v>
      </c>
      <c r="CO3" s="3">
        <v>15343.93</v>
      </c>
      <c r="CP3" s="3">
        <v>10699.63</v>
      </c>
      <c r="CQ3" s="3">
        <v>10895.4</v>
      </c>
      <c r="CR3" s="3">
        <v>9680.99</v>
      </c>
      <c r="CS3" s="3">
        <v>9634.2999999999993</v>
      </c>
      <c r="CT3" s="3">
        <v>9155.76</v>
      </c>
      <c r="CU3" s="3">
        <v>11624.46</v>
      </c>
    </row>
    <row r="4" spans="1:99" x14ac:dyDescent="0.3">
      <c r="A4" t="s">
        <v>27</v>
      </c>
      <c r="B4" s="1">
        <v>13612.21</v>
      </c>
      <c r="C4">
        <v>10684.76</v>
      </c>
      <c r="D4">
        <v>14994.5</v>
      </c>
      <c r="E4">
        <v>10297.280000000001</v>
      </c>
      <c r="F4">
        <v>13854.04</v>
      </c>
      <c r="G4">
        <v>12539.86</v>
      </c>
      <c r="H4">
        <v>11545.69</v>
      </c>
      <c r="I4">
        <v>13947.39</v>
      </c>
      <c r="J4">
        <v>25219.31</v>
      </c>
      <c r="K4">
        <v>13705.58</v>
      </c>
      <c r="L4">
        <v>8349.33</v>
      </c>
      <c r="M4">
        <v>7748.78</v>
      </c>
      <c r="N4">
        <v>25504.46</v>
      </c>
      <c r="O4">
        <v>24279.16</v>
      </c>
      <c r="P4">
        <v>10354.879999999999</v>
      </c>
      <c r="Q4">
        <v>18767.509999999998</v>
      </c>
      <c r="R4">
        <v>10978.86</v>
      </c>
      <c r="S4">
        <v>16504.919999999998</v>
      </c>
      <c r="T4">
        <v>10959.14</v>
      </c>
      <c r="U4">
        <v>12246.33</v>
      </c>
      <c r="V4">
        <v>11729.25</v>
      </c>
      <c r="W4">
        <v>10643.98</v>
      </c>
      <c r="X4">
        <v>9814.5499999999993</v>
      </c>
      <c r="Y4">
        <v>13347.91</v>
      </c>
      <c r="Z4" s="1">
        <v>13612.21</v>
      </c>
      <c r="AA4">
        <v>11695.79</v>
      </c>
      <c r="AB4">
        <v>11031.38</v>
      </c>
      <c r="AC4">
        <v>13676.58</v>
      </c>
      <c r="AD4">
        <v>15907.12</v>
      </c>
      <c r="AE4">
        <v>10674.88</v>
      </c>
      <c r="AF4">
        <v>11538.06</v>
      </c>
      <c r="AG4">
        <v>13721.29</v>
      </c>
      <c r="AH4">
        <v>11493.24</v>
      </c>
      <c r="AI4">
        <v>13438.09</v>
      </c>
      <c r="AJ4">
        <v>10705.76</v>
      </c>
      <c r="AK4">
        <v>11258.92</v>
      </c>
      <c r="AL4">
        <v>11936.88</v>
      </c>
      <c r="AM4">
        <v>13461.9</v>
      </c>
      <c r="AN4">
        <v>11889.01</v>
      </c>
      <c r="AO4">
        <v>12404.32</v>
      </c>
      <c r="AP4">
        <v>12879.42</v>
      </c>
      <c r="AQ4">
        <v>11016.41</v>
      </c>
      <c r="AR4">
        <v>10972.55</v>
      </c>
      <c r="AS4">
        <v>11312.97</v>
      </c>
      <c r="AT4">
        <v>11318.77</v>
      </c>
      <c r="AU4">
        <v>11892.49</v>
      </c>
      <c r="AV4">
        <v>11461.92</v>
      </c>
      <c r="AW4">
        <v>10860.75</v>
      </c>
      <c r="AX4">
        <v>10721.59</v>
      </c>
      <c r="AY4">
        <v>20132.13</v>
      </c>
      <c r="AZ4" s="4">
        <v>14373.24</v>
      </c>
      <c r="BA4" s="3">
        <v>10427.070765755132</v>
      </c>
      <c r="BB4" s="3">
        <v>15583.243560237903</v>
      </c>
      <c r="BC4" s="3">
        <v>10046.335765948916</v>
      </c>
      <c r="BD4" s="3">
        <v>14262.196403394681</v>
      </c>
      <c r="BE4" s="3">
        <v>13326.54428353117</v>
      </c>
      <c r="BF4" s="3">
        <v>11765.624410651031</v>
      </c>
      <c r="BG4" s="3">
        <v>13061.563486624687</v>
      </c>
      <c r="BH4" s="3">
        <v>27349.392581203119</v>
      </c>
      <c r="BI4" s="3">
        <v>14242.072060899569</v>
      </c>
      <c r="BJ4" s="3">
        <v>10859.883663100063</v>
      </c>
      <c r="BK4" s="3">
        <v>8157.3450804028989</v>
      </c>
      <c r="BL4" s="3">
        <v>26945.675460729639</v>
      </c>
      <c r="BM4" s="3">
        <v>30435.337063756691</v>
      </c>
      <c r="BN4" s="3">
        <v>10548.997278342145</v>
      </c>
      <c r="BO4" s="3">
        <v>20656.839209821563</v>
      </c>
      <c r="BP4" s="3">
        <v>10627.832147341971</v>
      </c>
      <c r="BQ4" s="3">
        <v>17241.424633061131</v>
      </c>
      <c r="BR4" s="3">
        <v>11150.633306708767</v>
      </c>
      <c r="BS4" s="3">
        <v>13003.191743985824</v>
      </c>
      <c r="BT4" s="3">
        <v>14867.377386925184</v>
      </c>
      <c r="BU4" s="3">
        <v>12243.757760723483</v>
      </c>
      <c r="BV4" s="3">
        <v>10209.54843330637</v>
      </c>
      <c r="BW4" s="3">
        <v>12863.059558305147</v>
      </c>
      <c r="BX4" s="4">
        <v>11819.597300000001</v>
      </c>
      <c r="BY4" s="3">
        <v>9281.9815041744241</v>
      </c>
      <c r="BZ4" s="3">
        <v>11619.215252266924</v>
      </c>
      <c r="CA4" s="3">
        <v>9381.117405455956</v>
      </c>
      <c r="CB4" s="3">
        <v>11628.367098415667</v>
      </c>
      <c r="CC4" s="3">
        <v>10522.364666199885</v>
      </c>
      <c r="CD4" s="3">
        <v>11084.09388931606</v>
      </c>
      <c r="CE4" s="3">
        <v>13416.752129445898</v>
      </c>
      <c r="CF4" s="3">
        <v>17603.220409890106</v>
      </c>
      <c r="CG4" s="3">
        <v>11518.294060646891</v>
      </c>
      <c r="CH4" s="3">
        <v>7282.9048623665221</v>
      </c>
      <c r="CI4" s="3">
        <v>7260.1851655096916</v>
      </c>
      <c r="CJ4" s="3">
        <v>20169.908796422853</v>
      </c>
      <c r="CK4" s="3">
        <v>20593.572340761835</v>
      </c>
      <c r="CL4" s="3">
        <v>9881.0015199982408</v>
      </c>
      <c r="CM4" s="3">
        <v>15728.372838529278</v>
      </c>
      <c r="CN4" s="3">
        <v>10661.111772362829</v>
      </c>
      <c r="CO4" s="3">
        <v>15608.451472885312</v>
      </c>
      <c r="CP4" s="3">
        <v>10814.707263105149</v>
      </c>
      <c r="CQ4" s="3">
        <v>11074.947330373107</v>
      </c>
      <c r="CR4" s="3">
        <v>9818.8839978231172</v>
      </c>
      <c r="CS4" s="3">
        <v>9753.5766582973429</v>
      </c>
      <c r="CT4" s="3">
        <v>9294.2420222745823</v>
      </c>
      <c r="CU4" s="3">
        <v>11834.910012231643</v>
      </c>
    </row>
    <row r="5" spans="1:99" x14ac:dyDescent="0.3">
      <c r="A5" t="s">
        <v>28</v>
      </c>
      <c r="B5" s="1">
        <v>13543.08</v>
      </c>
      <c r="C5">
        <v>12451.22</v>
      </c>
      <c r="D5">
        <v>14471.17</v>
      </c>
      <c r="E5">
        <v>10954.89</v>
      </c>
      <c r="F5">
        <v>12692.6</v>
      </c>
      <c r="G5">
        <v>13204.61</v>
      </c>
      <c r="H5">
        <v>13100.55</v>
      </c>
      <c r="I5">
        <v>15080.88</v>
      </c>
      <c r="J5">
        <v>25651.53</v>
      </c>
      <c r="K5">
        <v>13851.45</v>
      </c>
      <c r="L5">
        <v>7745.07</v>
      </c>
      <c r="M5">
        <v>6979.35</v>
      </c>
      <c r="N5">
        <v>27101.05</v>
      </c>
      <c r="O5">
        <v>23556.85</v>
      </c>
      <c r="P5">
        <v>10861.29</v>
      </c>
      <c r="Q5">
        <v>21882.71</v>
      </c>
      <c r="R5">
        <v>10677.56</v>
      </c>
      <c r="S5">
        <v>17116.400000000001</v>
      </c>
      <c r="T5">
        <v>10858.92</v>
      </c>
      <c r="U5">
        <v>11734.77</v>
      </c>
      <c r="V5">
        <v>11053.51</v>
      </c>
      <c r="W5">
        <v>9794.3700000000008</v>
      </c>
      <c r="X5">
        <v>9339.7999999999993</v>
      </c>
      <c r="Y5">
        <v>12420.12</v>
      </c>
      <c r="Z5" s="1">
        <v>13543.08</v>
      </c>
      <c r="AA5">
        <v>11976.54</v>
      </c>
      <c r="AB5">
        <v>10776.77</v>
      </c>
      <c r="AC5">
        <v>13129.05</v>
      </c>
      <c r="AD5">
        <v>13885.9</v>
      </c>
      <c r="AE5">
        <v>11201.95</v>
      </c>
      <c r="AF5">
        <v>11608.37</v>
      </c>
      <c r="AG5">
        <v>13193.46</v>
      </c>
      <c r="AH5">
        <v>11906.07</v>
      </c>
      <c r="AI5">
        <v>13907.56</v>
      </c>
      <c r="AJ5">
        <v>10779.52</v>
      </c>
      <c r="AK5">
        <v>11696.01</v>
      </c>
      <c r="AL5">
        <v>12051.96</v>
      </c>
      <c r="AM5">
        <v>12650.58</v>
      </c>
      <c r="AN5">
        <v>11624.14</v>
      </c>
      <c r="AO5">
        <v>12574.56</v>
      </c>
      <c r="AP5">
        <v>11811.59</v>
      </c>
      <c r="AQ5">
        <v>11303.18</v>
      </c>
      <c r="AR5">
        <v>11612.85</v>
      </c>
      <c r="AS5">
        <v>11765.96</v>
      </c>
      <c r="AT5">
        <v>10647.11</v>
      </c>
      <c r="AU5">
        <v>11801.28</v>
      </c>
      <c r="AV5">
        <v>11690.16</v>
      </c>
      <c r="AW5">
        <v>10826.37</v>
      </c>
      <c r="AX5">
        <v>11173.77</v>
      </c>
      <c r="AY5">
        <v>20421.759999999998</v>
      </c>
      <c r="AZ5" s="4">
        <v>15012.49</v>
      </c>
      <c r="BA5" s="3">
        <v>12625.556937481773</v>
      </c>
      <c r="BB5" s="3">
        <v>15776.838328766866</v>
      </c>
      <c r="BC5" s="3">
        <v>11212.683406853599</v>
      </c>
      <c r="BD5" s="3">
        <v>14297.064211470972</v>
      </c>
      <c r="BE5" s="3">
        <v>14145.224036550191</v>
      </c>
      <c r="BF5" s="3">
        <v>12751.071344089702</v>
      </c>
      <c r="BG5" s="3">
        <v>14796.679764308305</v>
      </c>
      <c r="BH5" s="3">
        <v>33260.461444977627</v>
      </c>
      <c r="BI5" s="3">
        <v>14717.68263406344</v>
      </c>
      <c r="BJ5" s="3">
        <v>11275.481245574643</v>
      </c>
      <c r="BK5" s="3">
        <v>8866.0874129065487</v>
      </c>
      <c r="BL5" s="3">
        <v>29140.74375435838</v>
      </c>
      <c r="BM5" s="3">
        <v>28770.063435278658</v>
      </c>
      <c r="BN5" s="3">
        <v>11508.400252278243</v>
      </c>
      <c r="BO5" s="3">
        <v>21694.132700837283</v>
      </c>
      <c r="BP5" s="3">
        <v>10650.734521862556</v>
      </c>
      <c r="BQ5" s="3">
        <v>19325.641165399389</v>
      </c>
      <c r="BR5" s="3">
        <v>12380.862480845344</v>
      </c>
      <c r="BS5" s="3">
        <v>13077.670522792218</v>
      </c>
      <c r="BT5" s="3">
        <v>15398.047073749533</v>
      </c>
      <c r="BU5" s="3">
        <v>11873.711265922469</v>
      </c>
      <c r="BV5" s="3">
        <v>11076.012353111626</v>
      </c>
      <c r="BW5" s="3">
        <v>13078.248742521044</v>
      </c>
      <c r="BX5" s="4">
        <v>12406.86016</v>
      </c>
      <c r="BY5" s="3">
        <v>10075.25092382569</v>
      </c>
      <c r="BZ5" s="3">
        <v>11788.288594011265</v>
      </c>
      <c r="CA5" s="3">
        <v>9699.8208105868853</v>
      </c>
      <c r="CB5" s="3">
        <v>11544.89591337461</v>
      </c>
      <c r="CC5" s="3">
        <v>10890.152365146199</v>
      </c>
      <c r="CD5" s="3">
        <v>11718.737959822831</v>
      </c>
      <c r="CE5" s="3">
        <v>14434.409920620095</v>
      </c>
      <c r="CF5" s="3">
        <v>17500.811468399916</v>
      </c>
      <c r="CG5" s="3">
        <v>11960.407745874971</v>
      </c>
      <c r="CH5" s="3">
        <v>7398.4824982635428</v>
      </c>
      <c r="CI5" s="3">
        <v>7812.5604424240319</v>
      </c>
      <c r="CJ5" s="3">
        <v>21707.957315986743</v>
      </c>
      <c r="CK5" s="3">
        <v>19707.044066707371</v>
      </c>
      <c r="CL5" s="3">
        <v>10312.282161560051</v>
      </c>
      <c r="CM5" s="3">
        <v>17142.553587564769</v>
      </c>
      <c r="CN5" s="3">
        <v>10833.179672976723</v>
      </c>
      <c r="CO5" s="3">
        <v>17306.077971348488</v>
      </c>
      <c r="CP5" s="3">
        <v>11994.422881092873</v>
      </c>
      <c r="CQ5" s="3">
        <v>11279.344046718967</v>
      </c>
      <c r="CR5" s="3">
        <v>10131.650399189884</v>
      </c>
      <c r="CS5" s="3">
        <v>10283.404296076102</v>
      </c>
      <c r="CT5" s="3">
        <v>9787.0861427028049</v>
      </c>
      <c r="CU5" s="3">
        <v>12321.01687671909</v>
      </c>
    </row>
    <row r="6" spans="1:99" x14ac:dyDescent="0.3">
      <c r="A6" t="s">
        <v>29</v>
      </c>
      <c r="B6" s="1">
        <v>13498.94</v>
      </c>
      <c r="C6">
        <v>11800.87</v>
      </c>
      <c r="D6">
        <v>14295.81</v>
      </c>
      <c r="E6">
        <v>10919.75</v>
      </c>
      <c r="F6">
        <v>13166.87</v>
      </c>
      <c r="G6">
        <v>13165</v>
      </c>
      <c r="H6">
        <v>12526.68</v>
      </c>
      <c r="I6">
        <v>14897.47</v>
      </c>
      <c r="J6">
        <v>28041.81</v>
      </c>
      <c r="K6">
        <v>14119.26</v>
      </c>
      <c r="L6">
        <v>7848.51</v>
      </c>
      <c r="M6">
        <v>8875.2999999999993</v>
      </c>
      <c r="N6">
        <v>25264.51</v>
      </c>
      <c r="O6">
        <v>21965.16</v>
      </c>
      <c r="P6">
        <v>11138.85</v>
      </c>
      <c r="Q6">
        <v>17744.55</v>
      </c>
      <c r="R6">
        <v>10725.57</v>
      </c>
      <c r="S6">
        <v>17931.12</v>
      </c>
      <c r="T6">
        <v>11579.38</v>
      </c>
      <c r="U6">
        <v>11526.25</v>
      </c>
      <c r="V6">
        <v>12059.05</v>
      </c>
      <c r="W6">
        <v>10832.62</v>
      </c>
      <c r="X6">
        <v>10301.07</v>
      </c>
      <c r="Y6">
        <v>12349.49</v>
      </c>
      <c r="Z6" s="1">
        <v>13499</v>
      </c>
      <c r="AA6">
        <v>12247</v>
      </c>
      <c r="AB6">
        <v>10890</v>
      </c>
      <c r="AC6">
        <v>13460</v>
      </c>
      <c r="AD6">
        <v>14457</v>
      </c>
      <c r="AE6">
        <v>11396</v>
      </c>
      <c r="AF6">
        <v>11743</v>
      </c>
      <c r="AG6">
        <v>13472</v>
      </c>
      <c r="AH6">
        <v>11681</v>
      </c>
      <c r="AI6">
        <v>13850</v>
      </c>
      <c r="AJ6">
        <v>10903</v>
      </c>
      <c r="AK6">
        <v>11961</v>
      </c>
      <c r="AL6">
        <v>12065</v>
      </c>
      <c r="AM6">
        <v>13113</v>
      </c>
      <c r="AN6">
        <v>11994</v>
      </c>
      <c r="AO6">
        <v>12584</v>
      </c>
      <c r="AP6">
        <v>11997</v>
      </c>
      <c r="AQ6">
        <v>11524</v>
      </c>
      <c r="AR6">
        <v>11230</v>
      </c>
      <c r="AS6">
        <v>11674</v>
      </c>
      <c r="AT6">
        <v>11113</v>
      </c>
      <c r="AU6">
        <v>11757</v>
      </c>
      <c r="AV6">
        <v>11876</v>
      </c>
      <c r="AW6">
        <v>10941</v>
      </c>
      <c r="AX6">
        <v>11182</v>
      </c>
      <c r="AY6">
        <v>19287</v>
      </c>
      <c r="AZ6" s="4">
        <v>15189.33</v>
      </c>
      <c r="BA6" s="3">
        <v>12774.28</v>
      </c>
      <c r="BB6" s="3">
        <v>15998.31</v>
      </c>
      <c r="BC6" s="3">
        <v>11338.01</v>
      </c>
      <c r="BD6" s="3">
        <v>14523.59</v>
      </c>
      <c r="BE6" s="3">
        <v>14319.58</v>
      </c>
      <c r="BF6" s="3">
        <v>12910.51</v>
      </c>
      <c r="BG6" s="3">
        <v>15002.17</v>
      </c>
      <c r="BH6" s="3">
        <v>33657.199999999997</v>
      </c>
      <c r="BI6" s="3">
        <v>14795.42</v>
      </c>
      <c r="BJ6" s="3">
        <v>11411.88</v>
      </c>
      <c r="BK6" s="3">
        <v>9005.64</v>
      </c>
      <c r="BL6" s="3">
        <v>29724.43</v>
      </c>
      <c r="BM6" s="3">
        <v>28942.25</v>
      </c>
      <c r="BN6" s="3">
        <v>11579.15</v>
      </c>
      <c r="BO6" s="3">
        <v>22030.59</v>
      </c>
      <c r="BP6" s="3">
        <v>10736.92</v>
      </c>
      <c r="BQ6" s="3">
        <v>19649.27</v>
      </c>
      <c r="BR6" s="3">
        <v>12493.3</v>
      </c>
      <c r="BS6" s="3">
        <v>13265.44</v>
      </c>
      <c r="BT6" s="3">
        <v>15606.09</v>
      </c>
      <c r="BU6" s="3">
        <v>12009.8</v>
      </c>
      <c r="BV6" s="3">
        <v>11241.54</v>
      </c>
      <c r="BW6" s="3">
        <v>13287.27</v>
      </c>
      <c r="BX6" s="4">
        <v>12552.93</v>
      </c>
      <c r="BY6" s="3">
        <v>10193.870000000001</v>
      </c>
      <c r="BZ6" s="3">
        <v>11953.77</v>
      </c>
      <c r="CA6" s="3">
        <v>9808.2099999999991</v>
      </c>
      <c r="CB6" s="3">
        <v>11727.8</v>
      </c>
      <c r="CC6" s="3">
        <v>11024.47</v>
      </c>
      <c r="CD6" s="3">
        <v>11865.29</v>
      </c>
      <c r="CE6" s="3">
        <v>14634.86</v>
      </c>
      <c r="CF6" s="3">
        <v>17709.669999999998</v>
      </c>
      <c r="CG6" s="3">
        <v>12023.56</v>
      </c>
      <c r="CH6" s="3">
        <v>7488.02</v>
      </c>
      <c r="CI6" s="3">
        <v>7935.5</v>
      </c>
      <c r="CJ6" s="3">
        <v>22142.68</v>
      </c>
      <c r="CK6" s="3">
        <v>19825</v>
      </c>
      <c r="CL6" s="3">
        <v>10375.68</v>
      </c>
      <c r="CM6" s="3">
        <v>17408.400000000001</v>
      </c>
      <c r="CN6" s="3">
        <v>10920.82</v>
      </c>
      <c r="CO6" s="3">
        <v>17595.849999999999</v>
      </c>
      <c r="CP6" s="3">
        <v>12103.29</v>
      </c>
      <c r="CQ6" s="3">
        <v>11441.33</v>
      </c>
      <c r="CR6" s="3">
        <v>10268.459999999999</v>
      </c>
      <c r="CS6" s="3">
        <v>10401.27</v>
      </c>
      <c r="CT6" s="3">
        <v>9933.34</v>
      </c>
      <c r="CU6" s="3">
        <v>12518.02</v>
      </c>
    </row>
    <row r="7" spans="1:99" x14ac:dyDescent="0.3">
      <c r="A7" t="s">
        <v>30</v>
      </c>
      <c r="B7" s="1">
        <v>14312.85</v>
      </c>
      <c r="C7">
        <v>11875.19</v>
      </c>
      <c r="D7">
        <v>14709.88</v>
      </c>
      <c r="E7">
        <v>11301.81</v>
      </c>
      <c r="F7">
        <v>13340.77</v>
      </c>
      <c r="G7">
        <v>12983.81</v>
      </c>
      <c r="H7">
        <v>12161.79</v>
      </c>
      <c r="I7">
        <v>14766.07</v>
      </c>
      <c r="J7">
        <v>29288.32</v>
      </c>
      <c r="K7">
        <v>13810.01</v>
      </c>
      <c r="L7">
        <v>8669.14</v>
      </c>
      <c r="M7">
        <v>8922.2800000000007</v>
      </c>
      <c r="N7">
        <v>26197.07</v>
      </c>
      <c r="O7">
        <v>22690.93</v>
      </c>
      <c r="P7">
        <v>11208.43</v>
      </c>
      <c r="Q7">
        <v>19052.330000000002</v>
      </c>
      <c r="R7">
        <v>11034.07</v>
      </c>
      <c r="S7">
        <v>19867.78</v>
      </c>
      <c r="T7">
        <v>14158.09</v>
      </c>
      <c r="U7">
        <v>12089.52</v>
      </c>
      <c r="V7">
        <v>13259.54</v>
      </c>
      <c r="W7">
        <v>12262.69</v>
      </c>
      <c r="X7">
        <v>11094.14</v>
      </c>
      <c r="Y7">
        <v>14049.38</v>
      </c>
      <c r="Z7" s="1">
        <v>14312.85</v>
      </c>
      <c r="AA7">
        <v>12789.18</v>
      </c>
      <c r="AB7">
        <v>12126.08</v>
      </c>
      <c r="AC7">
        <v>13831.54</v>
      </c>
      <c r="AD7">
        <v>14987.65</v>
      </c>
      <c r="AE7">
        <v>12221.37</v>
      </c>
      <c r="AF7">
        <v>13019.66</v>
      </c>
      <c r="AG7">
        <v>13895.1</v>
      </c>
      <c r="AH7">
        <v>12904.73</v>
      </c>
      <c r="AI7">
        <v>14679.48</v>
      </c>
      <c r="AJ7">
        <v>11496.76</v>
      </c>
      <c r="AK7">
        <v>12753.77</v>
      </c>
      <c r="AL7">
        <v>12902.72</v>
      </c>
      <c r="AM7">
        <v>14043.93</v>
      </c>
      <c r="AN7">
        <v>12841.52</v>
      </c>
      <c r="AO7">
        <v>13088.23</v>
      </c>
      <c r="AP7">
        <v>13005.12</v>
      </c>
      <c r="AQ7">
        <v>12297.21</v>
      </c>
      <c r="AR7">
        <v>12293.41</v>
      </c>
      <c r="AS7">
        <v>12298.13</v>
      </c>
      <c r="AT7">
        <v>12109.6</v>
      </c>
      <c r="AU7">
        <v>12965.11</v>
      </c>
      <c r="AV7">
        <v>12447.56</v>
      </c>
      <c r="AW7">
        <v>12131.78</v>
      </c>
      <c r="AX7">
        <v>12127.97</v>
      </c>
      <c r="AY7">
        <v>20455.060000000001</v>
      </c>
      <c r="AZ7" s="4">
        <v>15366.17</v>
      </c>
      <c r="BA7" s="3">
        <v>12923.003062518228</v>
      </c>
      <c r="BB7" s="3">
        <v>16219.781671233133</v>
      </c>
      <c r="BC7" s="3">
        <v>11463.336593146401</v>
      </c>
      <c r="BD7" s="3">
        <v>14750.115788529029</v>
      </c>
      <c r="BE7" s="3">
        <v>14493.935963449809</v>
      </c>
      <c r="BF7" s="3">
        <v>13069.948655910299</v>
      </c>
      <c r="BG7" s="3">
        <v>15207.660235691696</v>
      </c>
      <c r="BH7" s="3">
        <v>34053.938555022367</v>
      </c>
      <c r="BI7" s="3">
        <v>14873.15736593656</v>
      </c>
      <c r="BJ7" s="3">
        <v>11548.278754425355</v>
      </c>
      <c r="BK7" s="3">
        <v>9145.1925870934501</v>
      </c>
      <c r="BL7" s="3">
        <v>30308.11624564162</v>
      </c>
      <c r="BM7" s="3">
        <v>29114.436564721342</v>
      </c>
      <c r="BN7" s="3">
        <v>11649.899747721756</v>
      </c>
      <c r="BO7" s="3">
        <v>22367.047299162718</v>
      </c>
      <c r="BP7" s="3">
        <v>10823.105478137444</v>
      </c>
      <c r="BQ7" s="3">
        <v>19972.898834600612</v>
      </c>
      <c r="BR7" s="3">
        <v>12605.737519154654</v>
      </c>
      <c r="BS7" s="3">
        <v>13453.209477207783</v>
      </c>
      <c r="BT7" s="3">
        <v>15814.132926250468</v>
      </c>
      <c r="BU7" s="3">
        <v>12145.888734077529</v>
      </c>
      <c r="BV7" s="3">
        <v>11407.067646888376</v>
      </c>
      <c r="BW7" s="3">
        <v>13496.291257478957</v>
      </c>
      <c r="BX7" s="4">
        <v>12698.99984</v>
      </c>
      <c r="BY7" s="3">
        <v>10312.489076174312</v>
      </c>
      <c r="BZ7" s="3">
        <v>12119.251405988736</v>
      </c>
      <c r="CA7" s="3">
        <v>9916.599189413113</v>
      </c>
      <c r="CB7" s="3">
        <v>11910.704086625388</v>
      </c>
      <c r="CC7" s="3">
        <v>11158.787634853799</v>
      </c>
      <c r="CD7" s="3">
        <v>12011.842040177171</v>
      </c>
      <c r="CE7" s="3">
        <v>14835.310079379906</v>
      </c>
      <c r="CF7" s="3">
        <v>17918.528531600081</v>
      </c>
      <c r="CG7" s="3">
        <v>12086.712254125028</v>
      </c>
      <c r="CH7" s="3">
        <v>7577.5575017364581</v>
      </c>
      <c r="CI7" s="3">
        <v>8058.4395575759681</v>
      </c>
      <c r="CJ7" s="3">
        <v>22577.402684013257</v>
      </c>
      <c r="CK7" s="3">
        <v>19942.955933292629</v>
      </c>
      <c r="CL7" s="3">
        <v>10439.077838439949</v>
      </c>
      <c r="CM7" s="3">
        <v>17674.246412435234</v>
      </c>
      <c r="CN7" s="3">
        <v>11008.460327023276</v>
      </c>
      <c r="CO7" s="3">
        <v>17885.622028651509</v>
      </c>
      <c r="CP7" s="3">
        <v>12212.157118907129</v>
      </c>
      <c r="CQ7" s="3">
        <v>11603.315953281033</v>
      </c>
      <c r="CR7" s="3">
        <v>10405.269600810114</v>
      </c>
      <c r="CS7" s="3">
        <v>10519.135703923899</v>
      </c>
      <c r="CT7" s="3">
        <v>10079.593857297195</v>
      </c>
      <c r="CU7" s="3">
        <v>12715.023123280911</v>
      </c>
    </row>
    <row r="8" spans="1:99" x14ac:dyDescent="0.3">
      <c r="A8" t="s">
        <v>31</v>
      </c>
      <c r="B8" s="1">
        <v>14345.13</v>
      </c>
      <c r="C8">
        <v>12732.55</v>
      </c>
      <c r="D8">
        <v>15246.91</v>
      </c>
      <c r="E8">
        <v>11838.54</v>
      </c>
      <c r="F8">
        <v>13505.65</v>
      </c>
      <c r="G8">
        <v>15256.65</v>
      </c>
      <c r="H8">
        <v>14681.47</v>
      </c>
      <c r="I8">
        <v>15355.78</v>
      </c>
      <c r="J8">
        <v>29975.87</v>
      </c>
      <c r="K8">
        <v>16646.54</v>
      </c>
      <c r="L8">
        <v>7869.19</v>
      </c>
      <c r="M8">
        <v>8870.9599999999991</v>
      </c>
      <c r="N8">
        <v>24945.61</v>
      </c>
      <c r="O8">
        <v>24489.32</v>
      </c>
      <c r="P8">
        <v>11489.56</v>
      </c>
      <c r="Q8">
        <v>19203.419999999998</v>
      </c>
      <c r="R8">
        <v>11282.8</v>
      </c>
      <c r="S8">
        <v>20782.3</v>
      </c>
      <c r="T8">
        <v>11894.82</v>
      </c>
      <c r="U8">
        <v>11175.39</v>
      </c>
      <c r="V8">
        <v>13145.42</v>
      </c>
      <c r="W8">
        <v>12116.94</v>
      </c>
      <c r="X8">
        <v>11112.96</v>
      </c>
      <c r="Y8">
        <v>15545.85</v>
      </c>
      <c r="Z8" s="1">
        <v>14345.13</v>
      </c>
      <c r="AA8">
        <v>12781.73</v>
      </c>
      <c r="AB8">
        <v>11740.19</v>
      </c>
      <c r="AC8">
        <v>13891.77</v>
      </c>
      <c r="AD8">
        <v>15287.26</v>
      </c>
      <c r="AE8">
        <v>12044.46</v>
      </c>
      <c r="AF8">
        <v>12745.17</v>
      </c>
      <c r="AG8">
        <v>14106.57</v>
      </c>
      <c r="AH8">
        <v>12625.1</v>
      </c>
      <c r="AI8">
        <v>14543.19</v>
      </c>
      <c r="AJ8">
        <v>11684.45</v>
      </c>
      <c r="AK8">
        <v>12555.88</v>
      </c>
      <c r="AL8">
        <v>12924.42</v>
      </c>
      <c r="AM8">
        <v>14071.88</v>
      </c>
      <c r="AN8">
        <v>12609.4</v>
      </c>
      <c r="AO8">
        <v>13320.65</v>
      </c>
      <c r="AP8">
        <v>12865.89</v>
      </c>
      <c r="AQ8">
        <v>12347.57</v>
      </c>
      <c r="AR8">
        <v>11742.54</v>
      </c>
      <c r="AS8">
        <v>12374.08</v>
      </c>
      <c r="AT8">
        <v>11552.23</v>
      </c>
      <c r="AU8">
        <v>12338.34</v>
      </c>
      <c r="AV8">
        <v>12306.59</v>
      </c>
      <c r="AW8">
        <v>11349.93</v>
      </c>
      <c r="AX8">
        <v>11546.61</v>
      </c>
      <c r="AY8">
        <v>20956.46</v>
      </c>
      <c r="AZ8" s="4">
        <v>15768.050000000001</v>
      </c>
      <c r="BA8" s="3">
        <v>13347.645847192527</v>
      </c>
      <c r="BB8" s="3">
        <v>16575.232229138011</v>
      </c>
      <c r="BC8" s="3">
        <v>12238.195682991331</v>
      </c>
      <c r="BD8" s="3">
        <v>14909.706734242785</v>
      </c>
      <c r="BE8" s="3">
        <v>16220.062443783012</v>
      </c>
      <c r="BF8" s="3">
        <v>14535.271803205236</v>
      </c>
      <c r="BG8" s="3">
        <v>15205.068675394055</v>
      </c>
      <c r="BH8" s="3">
        <v>35709.540131405978</v>
      </c>
      <c r="BI8" s="3">
        <v>17176.137999607807</v>
      </c>
      <c r="BJ8" s="3">
        <v>11597.358163655223</v>
      </c>
      <c r="BK8" s="3">
        <v>9545.2255382963631</v>
      </c>
      <c r="BL8" s="3">
        <v>27633.959077556377</v>
      </c>
      <c r="BM8" s="3">
        <v>30049.776894780127</v>
      </c>
      <c r="BN8" s="3">
        <v>11717.360058253858</v>
      </c>
      <c r="BO8" s="3">
        <v>21400.900278710658</v>
      </c>
      <c r="BP8" s="3">
        <v>11076.002053097898</v>
      </c>
      <c r="BQ8" s="3">
        <v>21579.262201332778</v>
      </c>
      <c r="BR8" s="3">
        <v>12207.621285081692</v>
      </c>
      <c r="BS8" s="3">
        <v>12069.851547631035</v>
      </c>
      <c r="BT8" s="3">
        <v>17024.487942396932</v>
      </c>
      <c r="BU8" s="3">
        <v>13066.287030001273</v>
      </c>
      <c r="BV8" s="3">
        <v>11526.195500071908</v>
      </c>
      <c r="BW8" s="3">
        <v>14211.936805336552</v>
      </c>
      <c r="BX8" s="4">
        <v>12510.65242</v>
      </c>
      <c r="BY8" s="3">
        <v>10404.732729143339</v>
      </c>
      <c r="BZ8" s="3">
        <v>12410.780955282391</v>
      </c>
      <c r="CA8" s="3">
        <v>10357.400676414221</v>
      </c>
      <c r="CB8" s="3">
        <v>12146.491312050379</v>
      </c>
      <c r="CC8" s="3">
        <v>12215.985332593185</v>
      </c>
      <c r="CD8" s="3">
        <v>13428.981425339312</v>
      </c>
      <c r="CE8" s="3">
        <v>14910.699399165886</v>
      </c>
      <c r="CF8" s="3">
        <v>20195.477484328068</v>
      </c>
      <c r="CG8" s="3">
        <v>13699.895169616479</v>
      </c>
      <c r="CH8" s="3">
        <v>7443.7034955959443</v>
      </c>
      <c r="CI8" s="3">
        <v>8845.8017219515878</v>
      </c>
      <c r="CJ8" s="3">
        <v>21086.188218406307</v>
      </c>
      <c r="CK8" s="3">
        <v>20222.62275690095</v>
      </c>
      <c r="CL8" s="3">
        <v>10833.061382517153</v>
      </c>
      <c r="CM8" s="3">
        <v>16907.548650812041</v>
      </c>
      <c r="CN8" s="3">
        <v>11395.030833703158</v>
      </c>
      <c r="CO8" s="3">
        <v>19101.886215915263</v>
      </c>
      <c r="CP8" s="3">
        <v>11280.644818819719</v>
      </c>
      <c r="CQ8" s="3">
        <v>10409.914412696426</v>
      </c>
      <c r="CR8" s="3">
        <v>10548.811841086683</v>
      </c>
      <c r="CS8" s="3">
        <v>10583.799617555838</v>
      </c>
      <c r="CT8" s="3">
        <v>10478.420270289838</v>
      </c>
      <c r="CU8" s="3">
        <v>13032.959781527952</v>
      </c>
    </row>
    <row r="9" spans="1:99" x14ac:dyDescent="0.3">
      <c r="A9" t="s">
        <v>32</v>
      </c>
      <c r="B9" s="1">
        <v>13997</v>
      </c>
      <c r="C9">
        <v>12252.85</v>
      </c>
      <c r="D9">
        <v>15056.99</v>
      </c>
      <c r="E9">
        <v>11867.82</v>
      </c>
      <c r="F9">
        <v>13684.54</v>
      </c>
      <c r="G9">
        <v>15072.35</v>
      </c>
      <c r="H9">
        <v>14793.4</v>
      </c>
      <c r="I9">
        <v>15237.96</v>
      </c>
      <c r="J9">
        <v>30652.63</v>
      </c>
      <c r="K9">
        <v>16103.59</v>
      </c>
      <c r="L9">
        <v>7888.11</v>
      </c>
      <c r="M9">
        <v>9787.7099999999991</v>
      </c>
      <c r="N9">
        <v>24812.74</v>
      </c>
      <c r="O9">
        <v>23536.7</v>
      </c>
      <c r="P9">
        <v>11383.94</v>
      </c>
      <c r="Q9">
        <v>19170.22</v>
      </c>
      <c r="R9">
        <v>11345.11</v>
      </c>
      <c r="S9">
        <v>21207.07</v>
      </c>
      <c r="T9">
        <v>10472.549999999999</v>
      </c>
      <c r="U9">
        <v>10898.24</v>
      </c>
      <c r="V9">
        <v>12489.75</v>
      </c>
      <c r="W9">
        <v>11105.93</v>
      </c>
      <c r="X9">
        <v>10656.15</v>
      </c>
      <c r="Y9">
        <v>13051.08</v>
      </c>
      <c r="Z9" s="1">
        <v>13997</v>
      </c>
      <c r="AA9">
        <v>12425.99</v>
      </c>
      <c r="AB9">
        <v>11254.16</v>
      </c>
      <c r="AC9">
        <v>13956.8</v>
      </c>
      <c r="AD9">
        <v>14847.71</v>
      </c>
      <c r="AE9">
        <v>11624</v>
      </c>
      <c r="AF9">
        <v>12221.38</v>
      </c>
      <c r="AG9">
        <v>13952.12</v>
      </c>
      <c r="AH9">
        <v>11777.92</v>
      </c>
      <c r="AI9">
        <v>14227.69</v>
      </c>
      <c r="AJ9">
        <v>11088</v>
      </c>
      <c r="AK9">
        <v>11810.69</v>
      </c>
      <c r="AL9">
        <v>12724.44</v>
      </c>
      <c r="AM9">
        <v>13751.06</v>
      </c>
      <c r="AN9">
        <v>12359.09</v>
      </c>
      <c r="AO9">
        <v>13049.52</v>
      </c>
      <c r="AP9">
        <v>12507.15</v>
      </c>
      <c r="AQ9">
        <v>12106.83</v>
      </c>
      <c r="AR9">
        <v>11282.83</v>
      </c>
      <c r="AS9">
        <v>12071.93</v>
      </c>
      <c r="AT9">
        <v>11417.7</v>
      </c>
      <c r="AU9">
        <v>12055.06</v>
      </c>
      <c r="AV9">
        <v>11845.45</v>
      </c>
      <c r="AW9">
        <v>10811.39</v>
      </c>
      <c r="AX9">
        <v>11424.86</v>
      </c>
      <c r="AY9">
        <v>20358.12</v>
      </c>
      <c r="AZ9" s="4">
        <v>15958.12</v>
      </c>
      <c r="BA9" s="3">
        <v>13508.54</v>
      </c>
      <c r="BB9" s="3">
        <v>16811.78</v>
      </c>
      <c r="BC9" s="3">
        <v>12378.14</v>
      </c>
      <c r="BD9" s="3">
        <v>15142.22</v>
      </c>
      <c r="BE9" s="3">
        <v>16426.25</v>
      </c>
      <c r="BF9" s="3">
        <v>14705.43</v>
      </c>
      <c r="BG9" s="3">
        <v>15404.17</v>
      </c>
      <c r="BH9" s="3">
        <v>36155.660000000003</v>
      </c>
      <c r="BI9" s="3">
        <v>17266.91</v>
      </c>
      <c r="BJ9" s="3">
        <v>11726.44</v>
      </c>
      <c r="BK9" s="3">
        <v>9702.49</v>
      </c>
      <c r="BL9" s="3">
        <v>28186.12</v>
      </c>
      <c r="BM9" s="3">
        <v>30253.79</v>
      </c>
      <c r="BN9" s="3">
        <v>11791.44</v>
      </c>
      <c r="BO9" s="3">
        <v>21751.52</v>
      </c>
      <c r="BP9" s="3">
        <v>11173.64</v>
      </c>
      <c r="BQ9" s="3">
        <v>21952.69</v>
      </c>
      <c r="BR9" s="3">
        <v>12314.24</v>
      </c>
      <c r="BS9" s="3">
        <v>12259.07</v>
      </c>
      <c r="BT9" s="3">
        <v>17292.599999999999</v>
      </c>
      <c r="BU9" s="3">
        <v>13211.5</v>
      </c>
      <c r="BV9" s="3">
        <v>11694.44</v>
      </c>
      <c r="BW9" s="3">
        <v>14446.74</v>
      </c>
      <c r="BX9" s="4">
        <v>12661.37</v>
      </c>
      <c r="BY9" s="3">
        <v>10530.08</v>
      </c>
      <c r="BZ9" s="3">
        <v>12588</v>
      </c>
      <c r="CA9" s="3">
        <v>10475.870000000001</v>
      </c>
      <c r="CB9" s="3">
        <v>12335.83</v>
      </c>
      <c r="CC9" s="3">
        <v>12371.33</v>
      </c>
      <c r="CD9" s="3">
        <v>13586.15</v>
      </c>
      <c r="CE9" s="3">
        <v>15105.96</v>
      </c>
      <c r="CF9" s="3">
        <v>20447.86</v>
      </c>
      <c r="CG9" s="3">
        <v>13772.35</v>
      </c>
      <c r="CH9" s="3">
        <v>7526.59</v>
      </c>
      <c r="CI9" s="3">
        <v>8991.57</v>
      </c>
      <c r="CJ9" s="3">
        <v>21507.62</v>
      </c>
      <c r="CK9" s="3">
        <v>20359.900000000001</v>
      </c>
      <c r="CL9" s="3">
        <v>10901.55</v>
      </c>
      <c r="CM9" s="3">
        <v>17184.68</v>
      </c>
      <c r="CN9" s="3">
        <v>11495.47</v>
      </c>
      <c r="CO9" s="3">
        <v>19432.490000000002</v>
      </c>
      <c r="CP9" s="3">
        <v>11379.14</v>
      </c>
      <c r="CQ9" s="3">
        <v>10573.09</v>
      </c>
      <c r="CR9" s="3">
        <v>10714.84</v>
      </c>
      <c r="CS9" s="3">
        <v>10701.49</v>
      </c>
      <c r="CT9" s="3">
        <v>10631.36</v>
      </c>
      <c r="CU9" s="3">
        <v>13248.25</v>
      </c>
    </row>
    <row r="10" spans="1:99" x14ac:dyDescent="0.3">
      <c r="A10" t="s">
        <v>33</v>
      </c>
      <c r="B10" s="1">
        <v>14239.3</v>
      </c>
      <c r="C10">
        <v>12979.6</v>
      </c>
      <c r="D10">
        <v>15406.07</v>
      </c>
      <c r="E10">
        <v>12401.6</v>
      </c>
      <c r="F10">
        <v>13828.29</v>
      </c>
      <c r="G10">
        <v>14496.25</v>
      </c>
      <c r="H10">
        <v>13627.37</v>
      </c>
      <c r="I10">
        <v>15399.69</v>
      </c>
      <c r="J10">
        <v>29833</v>
      </c>
      <c r="K10">
        <v>15749</v>
      </c>
      <c r="L10">
        <v>8757.2199999999993</v>
      </c>
      <c r="M10">
        <v>9039.36</v>
      </c>
      <c r="N10">
        <v>25427.23</v>
      </c>
      <c r="O10">
        <v>22547.38</v>
      </c>
      <c r="P10">
        <v>11371.43</v>
      </c>
      <c r="Q10">
        <v>19513.89</v>
      </c>
      <c r="R10">
        <v>11294.93</v>
      </c>
      <c r="S10">
        <v>18841.98</v>
      </c>
      <c r="T10">
        <v>12333.61</v>
      </c>
      <c r="U10">
        <v>10585.54</v>
      </c>
      <c r="V10">
        <v>13226.8</v>
      </c>
      <c r="W10">
        <v>11432.19</v>
      </c>
      <c r="X10">
        <v>10878.95</v>
      </c>
      <c r="Y10">
        <v>13089.94</v>
      </c>
      <c r="Z10" s="1">
        <v>14239.3</v>
      </c>
      <c r="AA10">
        <v>12690.01</v>
      </c>
      <c r="AB10">
        <v>11677.26</v>
      </c>
      <c r="AC10">
        <v>13768.45</v>
      </c>
      <c r="AD10">
        <v>15147.68</v>
      </c>
      <c r="AE10">
        <v>11878.92</v>
      </c>
      <c r="AF10">
        <v>12314.87</v>
      </c>
      <c r="AG10">
        <v>14043.87</v>
      </c>
      <c r="AH10">
        <v>12369.39</v>
      </c>
      <c r="AI10">
        <v>14678.33</v>
      </c>
      <c r="AJ10">
        <v>11558.9</v>
      </c>
      <c r="AK10">
        <v>12541.12</v>
      </c>
      <c r="AL10">
        <v>13018.47</v>
      </c>
      <c r="AM10">
        <v>14143.65</v>
      </c>
      <c r="AN10">
        <v>12256.9</v>
      </c>
      <c r="AO10">
        <v>13293.13</v>
      </c>
      <c r="AP10">
        <v>13217.66</v>
      </c>
      <c r="AQ10">
        <v>11966.1</v>
      </c>
      <c r="AR10">
        <v>11532.49</v>
      </c>
      <c r="AS10">
        <v>12626.7</v>
      </c>
      <c r="AT10">
        <v>11512.05</v>
      </c>
      <c r="AU10">
        <v>12468.67</v>
      </c>
      <c r="AV10">
        <v>11892.17</v>
      </c>
      <c r="AW10">
        <v>10976.16</v>
      </c>
      <c r="AX10">
        <v>11497.46</v>
      </c>
      <c r="AY10">
        <v>20657.79</v>
      </c>
      <c r="AZ10" s="4">
        <v>16148.19</v>
      </c>
      <c r="BA10" s="3">
        <v>13669.434152807475</v>
      </c>
      <c r="BB10" s="3">
        <v>17048.327770861986</v>
      </c>
      <c r="BC10" s="3">
        <v>12518.084317008668</v>
      </c>
      <c r="BD10" s="3">
        <v>15374.733265757213</v>
      </c>
      <c r="BE10" s="3">
        <v>16632.437556216988</v>
      </c>
      <c r="BF10" s="3">
        <v>14875.588196794764</v>
      </c>
      <c r="BG10" s="3">
        <v>15603.271324605945</v>
      </c>
      <c r="BH10" s="3">
        <v>36601.779868594029</v>
      </c>
      <c r="BI10" s="3">
        <v>17357.682000392193</v>
      </c>
      <c r="BJ10" s="3">
        <v>11855.521836344778</v>
      </c>
      <c r="BK10" s="3">
        <v>9859.7544617036365</v>
      </c>
      <c r="BL10" s="3">
        <v>28738.280922443621</v>
      </c>
      <c r="BM10" s="3">
        <v>30457.803105219875</v>
      </c>
      <c r="BN10" s="3">
        <v>11865.519941746143</v>
      </c>
      <c r="BO10" s="3">
        <v>22102.139721289343</v>
      </c>
      <c r="BP10" s="3">
        <v>11271.277946902101</v>
      </c>
      <c r="BQ10" s="3">
        <v>22326.117798667219</v>
      </c>
      <c r="BR10" s="3">
        <v>12420.858714918308</v>
      </c>
      <c r="BS10" s="3">
        <v>12448.288452368964</v>
      </c>
      <c r="BT10" s="3">
        <v>17560.712057603065</v>
      </c>
      <c r="BU10" s="3">
        <v>13356.712969998727</v>
      </c>
      <c r="BV10" s="3">
        <v>11862.684499928093</v>
      </c>
      <c r="BW10" s="3">
        <v>14681.543194663447</v>
      </c>
      <c r="BX10" s="4">
        <v>12812.087580000001</v>
      </c>
      <c r="BY10" s="3">
        <v>10655.42727085666</v>
      </c>
      <c r="BZ10" s="3">
        <v>12765.219044717609</v>
      </c>
      <c r="CA10" s="3">
        <v>10594.33932358578</v>
      </c>
      <c r="CB10" s="3">
        <v>12525.168687949621</v>
      </c>
      <c r="CC10" s="3">
        <v>12526.674667406814</v>
      </c>
      <c r="CD10" s="3">
        <v>13743.318574660687</v>
      </c>
      <c r="CE10" s="3">
        <v>15301.220600834113</v>
      </c>
      <c r="CF10" s="3">
        <v>20700.242515671933</v>
      </c>
      <c r="CG10" s="3">
        <v>13844.804830383522</v>
      </c>
      <c r="CH10" s="3">
        <v>7609.476504404056</v>
      </c>
      <c r="CI10" s="3">
        <v>9137.3382780484117</v>
      </c>
      <c r="CJ10" s="3">
        <v>21929.051781593691</v>
      </c>
      <c r="CK10" s="3">
        <v>20497.177243099053</v>
      </c>
      <c r="CL10" s="3">
        <v>10970.038617482845</v>
      </c>
      <c r="CM10" s="3">
        <v>17461.811349187959</v>
      </c>
      <c r="CN10" s="3">
        <v>11595.90916629684</v>
      </c>
      <c r="CO10" s="3">
        <v>19763.09378408474</v>
      </c>
      <c r="CP10" s="3">
        <v>11477.63518118028</v>
      </c>
      <c r="CQ10" s="3">
        <v>10736.265587303575</v>
      </c>
      <c r="CR10" s="3">
        <v>10880.868158913318</v>
      </c>
      <c r="CS10" s="3">
        <v>10819.180382444161</v>
      </c>
      <c r="CT10" s="3">
        <v>10784.299729710163</v>
      </c>
      <c r="CU10" s="3">
        <v>13463.540218472048</v>
      </c>
    </row>
    <row r="11" spans="1:99" x14ac:dyDescent="0.3">
      <c r="A11" t="s">
        <v>34</v>
      </c>
      <c r="B11" s="1">
        <v>14044.81</v>
      </c>
      <c r="C11">
        <v>13304.07</v>
      </c>
      <c r="D11">
        <v>14993.45</v>
      </c>
      <c r="E11">
        <v>11806.61</v>
      </c>
      <c r="F11">
        <v>13744.67</v>
      </c>
      <c r="G11">
        <v>14568.48</v>
      </c>
      <c r="H11">
        <v>13790.14</v>
      </c>
      <c r="I11">
        <v>14175.03</v>
      </c>
      <c r="J11">
        <v>30135.95</v>
      </c>
      <c r="K11">
        <v>15835.12</v>
      </c>
      <c r="L11">
        <v>8313.58</v>
      </c>
      <c r="M11">
        <v>8851.57</v>
      </c>
      <c r="N11">
        <v>25195.63</v>
      </c>
      <c r="O11">
        <v>23641.88</v>
      </c>
      <c r="P11">
        <v>11195.24</v>
      </c>
      <c r="Q11">
        <v>19047.05</v>
      </c>
      <c r="R11">
        <v>11414.94</v>
      </c>
      <c r="S11">
        <v>18577.8</v>
      </c>
      <c r="T11">
        <v>11532</v>
      </c>
      <c r="U11">
        <v>11159.61</v>
      </c>
      <c r="V11">
        <v>12470.65</v>
      </c>
      <c r="W11">
        <v>11091.43</v>
      </c>
      <c r="X11">
        <v>10134.379999999999</v>
      </c>
      <c r="Y11">
        <v>13095.59</v>
      </c>
      <c r="Z11" s="1">
        <v>14044.81</v>
      </c>
      <c r="AA11">
        <v>13054.47</v>
      </c>
      <c r="AB11">
        <v>11516.8</v>
      </c>
      <c r="AC11">
        <v>13730.43</v>
      </c>
      <c r="AD11">
        <v>14791.01</v>
      </c>
      <c r="AE11">
        <v>11679.43</v>
      </c>
      <c r="AF11">
        <v>12057.58</v>
      </c>
      <c r="AG11">
        <v>13486.17</v>
      </c>
      <c r="AH11">
        <v>11911.22</v>
      </c>
      <c r="AI11">
        <v>14553.94</v>
      </c>
      <c r="AJ11">
        <v>11457.11</v>
      </c>
      <c r="AK11">
        <v>12097.22</v>
      </c>
      <c r="AL11">
        <v>12548.6</v>
      </c>
      <c r="AM11">
        <v>13591.94</v>
      </c>
      <c r="AN11">
        <v>12244.63</v>
      </c>
      <c r="AO11">
        <v>13396.81</v>
      </c>
      <c r="AP11">
        <v>12440.37</v>
      </c>
      <c r="AQ11">
        <v>12004.97</v>
      </c>
      <c r="AR11">
        <v>11615.46</v>
      </c>
      <c r="AS11">
        <v>12122.41</v>
      </c>
      <c r="AT11">
        <v>11470.84</v>
      </c>
      <c r="AU11">
        <v>12222.87</v>
      </c>
      <c r="AV11">
        <v>12275.56</v>
      </c>
      <c r="AW11">
        <v>10878.45</v>
      </c>
      <c r="AX11">
        <v>11533.91</v>
      </c>
      <c r="AY11">
        <v>20481.39</v>
      </c>
      <c r="AZ11" s="4">
        <v>16710.91</v>
      </c>
      <c r="BA11" s="3">
        <v>14993.301655189827</v>
      </c>
      <c r="BB11" s="3">
        <v>17447.251225615379</v>
      </c>
      <c r="BC11" s="3">
        <v>12319.613959003391</v>
      </c>
      <c r="BD11" s="3">
        <v>15972.208229948739</v>
      </c>
      <c r="BE11" s="3">
        <v>16413.423481693422</v>
      </c>
      <c r="BF11" s="3">
        <v>14368.840484343496</v>
      </c>
      <c r="BG11" s="3">
        <v>14515.428637184594</v>
      </c>
      <c r="BH11" s="3">
        <v>36440.185255580283</v>
      </c>
      <c r="BI11" s="3">
        <v>17691.137948423268</v>
      </c>
      <c r="BJ11" s="3">
        <v>11677.801099610921</v>
      </c>
      <c r="BK11" s="3">
        <v>9811.8069161684252</v>
      </c>
      <c r="BL11" s="3">
        <v>29955.3851898213</v>
      </c>
      <c r="BM11" s="3">
        <v>32978.596169140321</v>
      </c>
      <c r="BN11" s="3">
        <v>12389.831310359577</v>
      </c>
      <c r="BO11" s="3">
        <v>23321.5843610665</v>
      </c>
      <c r="BP11" s="3">
        <v>11913.685922447932</v>
      </c>
      <c r="BQ11" s="3">
        <v>23332.392104316157</v>
      </c>
      <c r="BR11" s="3">
        <v>12869.058724214248</v>
      </c>
      <c r="BS11" s="3">
        <v>13690.168958350347</v>
      </c>
      <c r="BT11" s="3">
        <v>16959.148535915534</v>
      </c>
      <c r="BU11" s="3">
        <v>13402.101795903045</v>
      </c>
      <c r="BV11" s="3">
        <v>12142.604876010448</v>
      </c>
      <c r="BW11" s="3">
        <v>13788.847624234626</v>
      </c>
      <c r="BX11" s="4">
        <v>13637.63168</v>
      </c>
      <c r="BY11" s="3">
        <v>11822.186334488526</v>
      </c>
      <c r="BZ11" s="3">
        <v>13145.437793059844</v>
      </c>
      <c r="CA11" s="3">
        <v>10726.648567313143</v>
      </c>
      <c r="CB11" s="3">
        <v>12822.642009109759</v>
      </c>
      <c r="CC11" s="3">
        <v>12568.016347808189</v>
      </c>
      <c r="CD11" s="3">
        <v>13144.511361453135</v>
      </c>
      <c r="CE11" s="3">
        <v>14512.081376225566</v>
      </c>
      <c r="CF11" s="3">
        <v>25669.23290254761</v>
      </c>
      <c r="CG11" s="3">
        <v>13909.424206546786</v>
      </c>
      <c r="CH11" s="3">
        <v>8141.4054326030946</v>
      </c>
      <c r="CI11" s="3">
        <v>8564.3315921552421</v>
      </c>
      <c r="CJ11" s="3">
        <v>23374.304420877757</v>
      </c>
      <c r="CK11" s="3">
        <v>22575.915723800164</v>
      </c>
      <c r="CL11" s="3">
        <v>11220.08984822371</v>
      </c>
      <c r="CM11" s="3">
        <v>18334.447511531915</v>
      </c>
      <c r="CN11" s="3">
        <v>12071.425152458778</v>
      </c>
      <c r="CO11" s="3">
        <v>20471.09890272504</v>
      </c>
      <c r="CP11" s="3">
        <v>12543.428888589146</v>
      </c>
      <c r="CQ11" s="3">
        <v>12041.870334497924</v>
      </c>
      <c r="CR11" s="3">
        <v>11486.686999948988</v>
      </c>
      <c r="CS11" s="3">
        <v>11512.859197543343</v>
      </c>
      <c r="CT11" s="3">
        <v>10873.417035060478</v>
      </c>
      <c r="CU11" s="3">
        <v>13915.150397747386</v>
      </c>
    </row>
    <row r="12" spans="1:99" x14ac:dyDescent="0.3">
      <c r="A12" t="s">
        <v>35</v>
      </c>
      <c r="B12" s="1">
        <v>14282.18</v>
      </c>
      <c r="C12">
        <v>13574.16</v>
      </c>
      <c r="D12">
        <v>15061.85</v>
      </c>
      <c r="E12">
        <v>11749.5</v>
      </c>
      <c r="F12">
        <v>13972.02</v>
      </c>
      <c r="G12">
        <v>14336.6</v>
      </c>
      <c r="H12">
        <v>13265.96</v>
      </c>
      <c r="I12">
        <v>14424.41</v>
      </c>
      <c r="J12">
        <v>30528.79</v>
      </c>
      <c r="K12">
        <v>15790.36</v>
      </c>
      <c r="L12">
        <v>8266.2900000000009</v>
      </c>
      <c r="M12">
        <v>8823.66</v>
      </c>
      <c r="N12">
        <v>27140.84</v>
      </c>
      <c r="O12">
        <v>23418.97</v>
      </c>
      <c r="P12">
        <v>11281.01</v>
      </c>
      <c r="Q12">
        <v>19114.34</v>
      </c>
      <c r="R12">
        <v>11444.25</v>
      </c>
      <c r="S12">
        <v>19917.09</v>
      </c>
      <c r="T12">
        <v>11709.51</v>
      </c>
      <c r="U12">
        <v>11683.34</v>
      </c>
      <c r="V12">
        <v>12847.03</v>
      </c>
      <c r="W12">
        <v>11370.35</v>
      </c>
      <c r="X12">
        <v>10532.43</v>
      </c>
      <c r="Y12">
        <v>13282.23</v>
      </c>
      <c r="Z12" s="1">
        <v>14282.18</v>
      </c>
      <c r="AA12">
        <v>13058.21</v>
      </c>
      <c r="AB12">
        <v>11597.19</v>
      </c>
      <c r="AC12">
        <v>13853.03</v>
      </c>
      <c r="AD12">
        <v>14809.31</v>
      </c>
      <c r="AE12">
        <v>11942.22</v>
      </c>
      <c r="AF12">
        <v>12466.7</v>
      </c>
      <c r="AG12">
        <v>13759.69</v>
      </c>
      <c r="AH12">
        <v>11904.52</v>
      </c>
      <c r="AI12">
        <v>14754.41</v>
      </c>
      <c r="AJ12">
        <v>11449.74</v>
      </c>
      <c r="AK12">
        <v>12266.08</v>
      </c>
      <c r="AL12">
        <v>12740.02</v>
      </c>
      <c r="AM12">
        <v>13568.08</v>
      </c>
      <c r="AN12">
        <v>12484.83</v>
      </c>
      <c r="AO12">
        <v>13283.95</v>
      </c>
      <c r="AP12">
        <v>12599.51</v>
      </c>
      <c r="AQ12">
        <v>12326.12</v>
      </c>
      <c r="AR12">
        <v>12223.76</v>
      </c>
      <c r="AS12">
        <v>12391.93</v>
      </c>
      <c r="AT12">
        <v>11314.2</v>
      </c>
      <c r="AU12">
        <v>12513.43</v>
      </c>
      <c r="AV12">
        <v>12186.28</v>
      </c>
      <c r="AW12">
        <v>11340.46</v>
      </c>
      <c r="AX12">
        <v>11628.18</v>
      </c>
      <c r="AY12">
        <v>21143.86</v>
      </c>
      <c r="AZ12" s="4">
        <v>16912.32</v>
      </c>
      <c r="BA12" s="3">
        <v>15174.01</v>
      </c>
      <c r="BB12" s="3">
        <v>17681.95</v>
      </c>
      <c r="BC12" s="3">
        <v>12461.56</v>
      </c>
      <c r="BD12" s="3">
        <v>16234.6</v>
      </c>
      <c r="BE12" s="3">
        <v>16619.61</v>
      </c>
      <c r="BF12" s="3">
        <v>14545.11</v>
      </c>
      <c r="BG12" s="3">
        <v>14719.25</v>
      </c>
      <c r="BH12" s="3">
        <v>36945.730000000003</v>
      </c>
      <c r="BI12" s="3">
        <v>17788.11</v>
      </c>
      <c r="BJ12" s="3">
        <v>11811.54</v>
      </c>
      <c r="BK12" s="3">
        <v>9982.02</v>
      </c>
      <c r="BL12" s="3">
        <v>30572.25</v>
      </c>
      <c r="BM12" s="3">
        <v>33197.300000000003</v>
      </c>
      <c r="BN12" s="3">
        <v>12465.46</v>
      </c>
      <c r="BO12" s="3">
        <v>23704.59</v>
      </c>
      <c r="BP12" s="3">
        <v>12015.78</v>
      </c>
      <c r="BQ12" s="3">
        <v>23730.16</v>
      </c>
      <c r="BR12" s="3">
        <v>12979.22</v>
      </c>
      <c r="BS12" s="3">
        <v>13905.96</v>
      </c>
      <c r="BT12" s="3">
        <v>17208.39</v>
      </c>
      <c r="BU12" s="3">
        <v>13560.82</v>
      </c>
      <c r="BV12" s="3">
        <v>12325.67</v>
      </c>
      <c r="BW12" s="3">
        <v>14017.91</v>
      </c>
      <c r="BX12" s="4">
        <v>13802.48</v>
      </c>
      <c r="BY12" s="3">
        <v>11965.09</v>
      </c>
      <c r="BZ12" s="3">
        <v>13322.92</v>
      </c>
      <c r="CA12" s="3">
        <v>10850.54</v>
      </c>
      <c r="CB12" s="3">
        <v>13034.01</v>
      </c>
      <c r="CC12" s="3">
        <v>12726.41</v>
      </c>
      <c r="CD12" s="3">
        <v>13306.31</v>
      </c>
      <c r="CE12" s="3">
        <v>14716.52</v>
      </c>
      <c r="CF12" s="3">
        <v>26026.51</v>
      </c>
      <c r="CG12" s="3">
        <v>13985.85</v>
      </c>
      <c r="CH12" s="3">
        <v>8234.9</v>
      </c>
      <c r="CI12" s="3">
        <v>8713.32</v>
      </c>
      <c r="CJ12" s="3">
        <v>23857.19</v>
      </c>
      <c r="CK12" s="3">
        <v>22726.02</v>
      </c>
      <c r="CL12" s="3">
        <v>11288.83</v>
      </c>
      <c r="CM12" s="3">
        <v>18636.61</v>
      </c>
      <c r="CN12" s="3">
        <v>12175.16</v>
      </c>
      <c r="CO12" s="3">
        <v>20821.07</v>
      </c>
      <c r="CP12" s="3">
        <v>12651.08</v>
      </c>
      <c r="CQ12" s="3">
        <v>12232.32</v>
      </c>
      <c r="CR12" s="3">
        <v>11656.09</v>
      </c>
      <c r="CS12" s="3">
        <v>11649.55</v>
      </c>
      <c r="CT12" s="3">
        <v>11037.84</v>
      </c>
      <c r="CU12" s="3">
        <v>14147.15</v>
      </c>
    </row>
    <row r="13" spans="1:99" x14ac:dyDescent="0.3">
      <c r="A13" t="s">
        <v>36</v>
      </c>
      <c r="B13" s="1">
        <v>17453.23</v>
      </c>
      <c r="C13">
        <v>16041.85</v>
      </c>
      <c r="D13">
        <v>18114.77</v>
      </c>
      <c r="E13">
        <v>12956.67</v>
      </c>
      <c r="F13">
        <v>15940.26</v>
      </c>
      <c r="G13">
        <v>16702.509999999998</v>
      </c>
      <c r="H13">
        <v>15458.33</v>
      </c>
      <c r="I13">
        <v>15673.62</v>
      </c>
      <c r="J13">
        <v>37580</v>
      </c>
      <c r="K13">
        <v>18150.509999999998</v>
      </c>
      <c r="L13">
        <v>10027.27</v>
      </c>
      <c r="M13">
        <v>9710.36</v>
      </c>
      <c r="N13">
        <v>29963.23</v>
      </c>
      <c r="O13">
        <v>31273.58</v>
      </c>
      <c r="P13">
        <v>13444.68</v>
      </c>
      <c r="Q13">
        <v>24822.31</v>
      </c>
      <c r="R13">
        <v>13406.12</v>
      </c>
      <c r="S13">
        <v>26924.07</v>
      </c>
      <c r="T13">
        <v>14931.34</v>
      </c>
      <c r="U13">
        <v>14832.81</v>
      </c>
      <c r="V13">
        <v>15479.96</v>
      </c>
      <c r="W13">
        <v>14489.15</v>
      </c>
      <c r="X13">
        <v>13418.73</v>
      </c>
      <c r="Y13">
        <v>15852.92</v>
      </c>
      <c r="Z13" s="1">
        <v>17453.23</v>
      </c>
      <c r="AA13">
        <v>15472.45</v>
      </c>
      <c r="AB13">
        <v>14568.23</v>
      </c>
      <c r="AC13">
        <v>15790.59</v>
      </c>
      <c r="AD13">
        <v>17191.189999999999</v>
      </c>
      <c r="AE13">
        <v>14620.65</v>
      </c>
      <c r="AF13">
        <v>15775.87</v>
      </c>
      <c r="AG13">
        <v>16866.689999999999</v>
      </c>
      <c r="AH13">
        <v>13987.82</v>
      </c>
      <c r="AI13">
        <v>17409.28</v>
      </c>
      <c r="AJ13">
        <v>13331.27</v>
      </c>
      <c r="AK13">
        <v>15783.25</v>
      </c>
      <c r="AL13">
        <v>15262.13</v>
      </c>
      <c r="AM13">
        <v>18413.740000000002</v>
      </c>
      <c r="AN13">
        <v>15378.57</v>
      </c>
      <c r="AO13">
        <v>15989.57</v>
      </c>
      <c r="AP13">
        <v>17202.009999999998</v>
      </c>
      <c r="AQ13">
        <v>14601.8</v>
      </c>
      <c r="AR13">
        <v>14383.58</v>
      </c>
      <c r="AS13">
        <v>14842.91</v>
      </c>
      <c r="AT13">
        <v>14252.95</v>
      </c>
      <c r="AU13">
        <v>16193.5</v>
      </c>
      <c r="AV13">
        <v>14420.59</v>
      </c>
      <c r="AW13">
        <v>14323.4</v>
      </c>
      <c r="AX13">
        <v>13536.71</v>
      </c>
      <c r="AY13">
        <v>26759.06</v>
      </c>
      <c r="AZ13" s="4">
        <v>17113.73</v>
      </c>
      <c r="BA13" s="3">
        <v>15354.718344810173</v>
      </c>
      <c r="BB13" s="3">
        <v>17916.648774384623</v>
      </c>
      <c r="BC13" s="3">
        <v>12603.506040996608</v>
      </c>
      <c r="BD13" s="3">
        <v>16496.991770051263</v>
      </c>
      <c r="BE13" s="3">
        <v>16825.796518306579</v>
      </c>
      <c r="BF13" s="3">
        <v>14721.379515656505</v>
      </c>
      <c r="BG13" s="3">
        <v>14923.071362815406</v>
      </c>
      <c r="BH13" s="3">
        <v>37451.274744419723</v>
      </c>
      <c r="BI13" s="3">
        <v>17885.082051576734</v>
      </c>
      <c r="BJ13" s="3">
        <v>11945.278900389081</v>
      </c>
      <c r="BK13" s="3">
        <v>10152.233083831576</v>
      </c>
      <c r="BL13" s="3">
        <v>31189.1148101787</v>
      </c>
      <c r="BM13" s="3">
        <v>33416.003830859685</v>
      </c>
      <c r="BN13" s="3">
        <v>12541.088689640421</v>
      </c>
      <c r="BO13" s="3">
        <v>24087.595638933501</v>
      </c>
      <c r="BP13" s="3">
        <v>12117.874077552069</v>
      </c>
      <c r="BQ13" s="3">
        <v>24127.927895683843</v>
      </c>
      <c r="BR13" s="3">
        <v>13089.38127578575</v>
      </c>
      <c r="BS13" s="3">
        <v>14121.751041649652</v>
      </c>
      <c r="BT13" s="3">
        <v>17457.631464084465</v>
      </c>
      <c r="BU13" s="3">
        <v>13719.538204096954</v>
      </c>
      <c r="BV13" s="3">
        <v>12508.735123989552</v>
      </c>
      <c r="BW13" s="3">
        <v>14246.972375765374</v>
      </c>
      <c r="BX13" s="4">
        <v>13967.328319999999</v>
      </c>
      <c r="BY13" s="3">
        <v>12107.993665511474</v>
      </c>
      <c r="BZ13" s="3">
        <v>13500.402206940156</v>
      </c>
      <c r="CA13" s="3">
        <v>10974.431432686859</v>
      </c>
      <c r="CB13" s="3">
        <v>13245.377990890242</v>
      </c>
      <c r="CC13" s="3">
        <v>12884.803652191811</v>
      </c>
      <c r="CD13" s="3">
        <v>13468.108638546864</v>
      </c>
      <c r="CE13" s="3">
        <v>14920.958623774435</v>
      </c>
      <c r="CF13" s="3">
        <v>26383.787097452387</v>
      </c>
      <c r="CG13" s="3">
        <v>14062.275793453215</v>
      </c>
      <c r="CH13" s="3">
        <v>8328.3945673969047</v>
      </c>
      <c r="CI13" s="3">
        <v>8862.3084078447573</v>
      </c>
      <c r="CJ13" s="3">
        <v>24340.07557912224</v>
      </c>
      <c r="CK13" s="3">
        <v>22876.124276199836</v>
      </c>
      <c r="CL13" s="3">
        <v>11357.57015177629</v>
      </c>
      <c r="CM13" s="3">
        <v>18938.772488468087</v>
      </c>
      <c r="CN13" s="3">
        <v>12278.894847541222</v>
      </c>
      <c r="CO13" s="3">
        <v>21171.04109727496</v>
      </c>
      <c r="CP13" s="3">
        <v>12758.731111410854</v>
      </c>
      <c r="CQ13" s="3">
        <v>12422.769665502075</v>
      </c>
      <c r="CR13" s="3">
        <v>11825.493000051012</v>
      </c>
      <c r="CS13" s="3">
        <v>11786.240802456656</v>
      </c>
      <c r="CT13" s="3">
        <v>11202.262964939522</v>
      </c>
      <c r="CU13" s="3">
        <v>14379.149602252613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14"/>
  <sheetViews>
    <sheetView workbookViewId="0">
      <selection activeCell="A8" sqref="A8:XFD8"/>
    </sheetView>
  </sheetViews>
  <sheetFormatPr defaultColWidth="9.109375" defaultRowHeight="14.4" x14ac:dyDescent="0.3"/>
  <cols>
    <col min="1" max="1" width="9.109375" style="3"/>
    <col min="2" max="2" width="9.5546875" style="3" bestFit="1" customWidth="1"/>
    <col min="3" max="3" width="11" style="3" bestFit="1" customWidth="1"/>
    <col min="4" max="4" width="9.6640625" style="3" bestFit="1" customWidth="1"/>
    <col min="5" max="5" width="9.6640625" style="51" bestFit="1" customWidth="1"/>
    <col min="6" max="19" width="9.6640625" style="3" bestFit="1" customWidth="1"/>
    <col min="20" max="20" width="9.6640625" style="51" bestFit="1" customWidth="1"/>
    <col min="21" max="24" width="9.6640625" style="3" bestFit="1" customWidth="1"/>
    <col min="25" max="25" width="9.6640625" style="51" bestFit="1" customWidth="1"/>
    <col min="26" max="29" width="9.6640625" style="3" bestFit="1" customWidth="1"/>
    <col min="30" max="30" width="9.33203125" style="3" bestFit="1" customWidth="1"/>
    <col min="31" max="16384" width="9.109375" style="3"/>
  </cols>
  <sheetData>
    <row r="1" spans="1:14" x14ac:dyDescent="0.3">
      <c r="A1" s="92" t="s">
        <v>37</v>
      </c>
      <c r="B1" s="92"/>
      <c r="C1" s="92"/>
      <c r="D1" s="92"/>
      <c r="E1" s="92"/>
      <c r="F1" s="92"/>
      <c r="G1" s="92"/>
      <c r="H1" s="92"/>
      <c r="I1" s="92"/>
      <c r="J1" s="92"/>
      <c r="K1" s="92"/>
      <c r="L1" s="92"/>
      <c r="M1" s="92"/>
      <c r="N1" s="92"/>
    </row>
    <row r="2" spans="1:14" x14ac:dyDescent="0.3">
      <c r="A2" s="93" t="s">
        <v>38</v>
      </c>
      <c r="B2" s="93"/>
      <c r="C2" s="93"/>
      <c r="D2" s="93"/>
      <c r="E2" s="93"/>
      <c r="F2" s="93"/>
      <c r="G2" s="93"/>
      <c r="H2" s="93"/>
      <c r="I2" s="93"/>
      <c r="J2" s="93"/>
      <c r="K2" s="93"/>
      <c r="L2" s="93"/>
      <c r="M2" s="93"/>
      <c r="N2" s="93"/>
    </row>
    <row r="3" spans="1:14" x14ac:dyDescent="0.3">
      <c r="A3" s="8"/>
      <c r="B3" s="8"/>
      <c r="C3" s="9"/>
      <c r="D3" s="9"/>
      <c r="E3" s="40"/>
      <c r="F3" s="9"/>
      <c r="G3" s="9"/>
      <c r="H3" s="9"/>
      <c r="I3" s="9"/>
      <c r="J3" s="9"/>
      <c r="K3" s="9"/>
      <c r="L3" s="9"/>
      <c r="M3" s="9"/>
      <c r="N3" s="9"/>
    </row>
    <row r="4" spans="1:14" x14ac:dyDescent="0.3">
      <c r="A4" s="94" t="s">
        <v>39</v>
      </c>
      <c r="B4" s="94"/>
      <c r="C4" s="94"/>
      <c r="D4" s="94"/>
      <c r="E4" s="94"/>
      <c r="F4" s="94"/>
      <c r="G4" s="94"/>
      <c r="H4" s="94"/>
      <c r="I4" s="94"/>
      <c r="J4" s="94"/>
      <c r="K4" s="94"/>
      <c r="L4" s="94"/>
      <c r="M4" s="94"/>
      <c r="N4" s="94"/>
    </row>
    <row r="5" spans="1:14" x14ac:dyDescent="0.3">
      <c r="A5" s="89" t="s">
        <v>40</v>
      </c>
      <c r="B5" s="76" t="s">
        <v>41</v>
      </c>
      <c r="C5" s="77"/>
      <c r="D5" s="88"/>
      <c r="E5" s="85" t="s">
        <v>42</v>
      </c>
      <c r="F5" s="86"/>
      <c r="G5" s="87"/>
      <c r="H5" s="76" t="s">
        <v>43</v>
      </c>
      <c r="I5" s="77"/>
      <c r="J5" s="88"/>
      <c r="K5" s="76" t="s">
        <v>44</v>
      </c>
      <c r="L5" s="77"/>
      <c r="M5" s="77"/>
      <c r="N5" s="80"/>
    </row>
    <row r="6" spans="1:14" x14ac:dyDescent="0.3">
      <c r="A6" s="90"/>
      <c r="B6" s="78" t="s">
        <v>45</v>
      </c>
      <c r="C6" s="76" t="s">
        <v>46</v>
      </c>
      <c r="D6" s="88"/>
      <c r="E6" s="96" t="s">
        <v>45</v>
      </c>
      <c r="F6" s="76" t="s">
        <v>46</v>
      </c>
      <c r="G6" s="88"/>
      <c r="H6" s="78" t="s">
        <v>45</v>
      </c>
      <c r="I6" s="76" t="s">
        <v>46</v>
      </c>
      <c r="J6" s="88"/>
      <c r="K6" s="78" t="s">
        <v>45</v>
      </c>
      <c r="L6" s="76" t="s">
        <v>46</v>
      </c>
      <c r="M6" s="77"/>
      <c r="N6" s="81"/>
    </row>
    <row r="7" spans="1:14" ht="81.599999999999994" x14ac:dyDescent="0.3">
      <c r="A7" s="79"/>
      <c r="B7" s="79"/>
      <c r="C7" s="10" t="s">
        <v>47</v>
      </c>
      <c r="D7" s="11" t="s">
        <v>48</v>
      </c>
      <c r="E7" s="97"/>
      <c r="F7" s="10" t="s">
        <v>47</v>
      </c>
      <c r="G7" s="11" t="s">
        <v>48</v>
      </c>
      <c r="H7" s="79"/>
      <c r="I7" s="10" t="s">
        <v>47</v>
      </c>
      <c r="J7" s="11" t="s">
        <v>48</v>
      </c>
      <c r="K7" s="79"/>
      <c r="L7" s="10" t="s">
        <v>47</v>
      </c>
      <c r="M7" s="12" t="s">
        <v>48</v>
      </c>
      <c r="N7" s="82"/>
    </row>
    <row r="8" spans="1:14" ht="40.799999999999997" x14ac:dyDescent="0.3">
      <c r="A8" s="13" t="s">
        <v>49</v>
      </c>
      <c r="B8" s="14">
        <v>14191.09</v>
      </c>
      <c r="C8" s="14">
        <v>11669.87</v>
      </c>
      <c r="D8" s="15">
        <v>82.2</v>
      </c>
      <c r="E8" s="41">
        <v>15189.33</v>
      </c>
      <c r="F8" s="14">
        <v>12552.93</v>
      </c>
      <c r="G8" s="15">
        <v>82.6</v>
      </c>
      <c r="H8" s="14">
        <v>15958.12</v>
      </c>
      <c r="I8" s="14">
        <v>12661.37</v>
      </c>
      <c r="J8" s="15">
        <v>79.3</v>
      </c>
      <c r="K8" s="15">
        <v>16912.32</v>
      </c>
      <c r="L8" s="15">
        <v>13802.48</v>
      </c>
      <c r="M8" s="15">
        <v>81.599999999999994</v>
      </c>
      <c r="N8" s="16" t="s">
        <v>1</v>
      </c>
    </row>
    <row r="9" spans="1:14" ht="91.8" x14ac:dyDescent="0.3">
      <c r="A9" s="17" t="s">
        <v>50</v>
      </c>
      <c r="B9" s="18">
        <v>10294.93</v>
      </c>
      <c r="C9" s="18">
        <v>9164.4</v>
      </c>
      <c r="D9" s="19">
        <v>89</v>
      </c>
      <c r="E9" s="42">
        <v>12774.28</v>
      </c>
      <c r="F9" s="18">
        <v>10193.870000000001</v>
      </c>
      <c r="G9" s="19">
        <v>79.8</v>
      </c>
      <c r="H9" s="18">
        <v>13508.54</v>
      </c>
      <c r="I9" s="18">
        <v>10530.08</v>
      </c>
      <c r="J9" s="19">
        <v>78</v>
      </c>
      <c r="K9" s="19">
        <v>15174.01</v>
      </c>
      <c r="L9" s="19">
        <v>11965.09</v>
      </c>
      <c r="M9" s="19">
        <v>78.900000000000006</v>
      </c>
      <c r="N9" s="20" t="s">
        <v>2</v>
      </c>
    </row>
    <row r="10" spans="1:14" ht="40.799999999999997" x14ac:dyDescent="0.3">
      <c r="A10" s="17" t="s">
        <v>51</v>
      </c>
      <c r="B10" s="18">
        <v>9987.2199999999993</v>
      </c>
      <c r="C10" s="18">
        <v>8921.4599999999991</v>
      </c>
      <c r="D10" s="19">
        <v>89.3</v>
      </c>
      <c r="E10" s="42">
        <v>12537.93</v>
      </c>
      <c r="F10" s="18">
        <v>9835.7900000000009</v>
      </c>
      <c r="G10" s="19">
        <v>78.400000000000006</v>
      </c>
      <c r="H10" s="18">
        <v>12812.79</v>
      </c>
      <c r="I10" s="18">
        <v>9925.31</v>
      </c>
      <c r="J10" s="19">
        <v>77.5</v>
      </c>
      <c r="K10" s="19">
        <v>14323.3</v>
      </c>
      <c r="L10" s="19">
        <v>11136.23</v>
      </c>
      <c r="M10" s="19">
        <v>77.7</v>
      </c>
      <c r="N10" s="21" t="s">
        <v>52</v>
      </c>
    </row>
    <row r="11" spans="1:14" ht="20.399999999999999" x14ac:dyDescent="0.3">
      <c r="A11" s="17" t="s">
        <v>53</v>
      </c>
      <c r="B11" s="18">
        <v>15312.32</v>
      </c>
      <c r="C11" s="18">
        <v>11417.25</v>
      </c>
      <c r="D11" s="19">
        <v>74.599999999999994</v>
      </c>
      <c r="E11" s="42">
        <v>15998.31</v>
      </c>
      <c r="F11" s="18">
        <v>11953.77</v>
      </c>
      <c r="G11" s="19">
        <v>74.7</v>
      </c>
      <c r="H11" s="18">
        <v>16811.78</v>
      </c>
      <c r="I11" s="18">
        <v>12588</v>
      </c>
      <c r="J11" s="19">
        <v>74.900000000000006</v>
      </c>
      <c r="K11" s="19">
        <v>17681.95</v>
      </c>
      <c r="L11" s="19">
        <v>13322.92</v>
      </c>
      <c r="M11" s="19">
        <v>75.3</v>
      </c>
      <c r="N11" s="20" t="s">
        <v>3</v>
      </c>
    </row>
    <row r="12" spans="1:14" ht="20.399999999999999" x14ac:dyDescent="0.3">
      <c r="A12" s="17" t="s">
        <v>54</v>
      </c>
      <c r="B12" s="18">
        <v>9919.02</v>
      </c>
      <c r="C12" s="18">
        <v>9270.7800000000007</v>
      </c>
      <c r="D12" s="19">
        <v>93.5</v>
      </c>
      <c r="E12" s="42">
        <v>11338.01</v>
      </c>
      <c r="F12" s="18">
        <v>9808.2099999999991</v>
      </c>
      <c r="G12" s="19">
        <v>86.5</v>
      </c>
      <c r="H12" s="18">
        <v>12378.14</v>
      </c>
      <c r="I12" s="18">
        <v>10475.870000000001</v>
      </c>
      <c r="J12" s="19">
        <v>84.6</v>
      </c>
      <c r="K12" s="19">
        <v>12461.56</v>
      </c>
      <c r="L12" s="19">
        <v>10850.54</v>
      </c>
      <c r="M12" s="19">
        <v>87.1</v>
      </c>
      <c r="N12" s="20" t="s">
        <v>4</v>
      </c>
    </row>
    <row r="13" spans="1:14" ht="91.8" x14ac:dyDescent="0.3">
      <c r="A13" s="17" t="s">
        <v>55</v>
      </c>
      <c r="B13" s="18">
        <v>14014.24</v>
      </c>
      <c r="C13" s="18">
        <v>11418.6</v>
      </c>
      <c r="D13" s="19">
        <v>81.5</v>
      </c>
      <c r="E13" s="42">
        <v>14523.59</v>
      </c>
      <c r="F13" s="18">
        <v>11727.8</v>
      </c>
      <c r="G13" s="19">
        <v>80.8</v>
      </c>
      <c r="H13" s="18">
        <v>15142.22</v>
      </c>
      <c r="I13" s="18">
        <v>12335.83</v>
      </c>
      <c r="J13" s="19">
        <v>81.5</v>
      </c>
      <c r="K13" s="19">
        <v>16234.6</v>
      </c>
      <c r="L13" s="19">
        <v>13034.01</v>
      </c>
      <c r="M13" s="19">
        <v>80.3</v>
      </c>
      <c r="N13" s="20" t="s">
        <v>5</v>
      </c>
    </row>
    <row r="14" spans="1:14" ht="91.8" x14ac:dyDescent="0.3">
      <c r="A14" s="17" t="s">
        <v>56</v>
      </c>
      <c r="B14" s="18">
        <v>13169.88</v>
      </c>
      <c r="C14" s="18">
        <v>10387.32</v>
      </c>
      <c r="D14" s="19">
        <v>78.900000000000006</v>
      </c>
      <c r="E14" s="42">
        <v>14319.58</v>
      </c>
      <c r="F14" s="18">
        <v>11024.47</v>
      </c>
      <c r="G14" s="19">
        <v>77</v>
      </c>
      <c r="H14" s="18">
        <v>16426.25</v>
      </c>
      <c r="I14" s="18">
        <v>12371.33</v>
      </c>
      <c r="J14" s="19">
        <v>75.3</v>
      </c>
      <c r="K14" s="19">
        <v>16619.61</v>
      </c>
      <c r="L14" s="19">
        <v>12726.41</v>
      </c>
      <c r="M14" s="19">
        <v>76.599999999999994</v>
      </c>
      <c r="N14" s="20" t="s">
        <v>6</v>
      </c>
    </row>
    <row r="15" spans="1:14" ht="61.2" x14ac:dyDescent="0.3">
      <c r="A15" s="22" t="s">
        <v>57</v>
      </c>
      <c r="B15" s="18">
        <v>11627.31</v>
      </c>
      <c r="C15" s="18">
        <v>10932.83</v>
      </c>
      <c r="D15" s="19">
        <v>94</v>
      </c>
      <c r="E15" s="42">
        <v>12910.51</v>
      </c>
      <c r="F15" s="18">
        <v>11865.29</v>
      </c>
      <c r="G15" s="19">
        <v>91.9</v>
      </c>
      <c r="H15" s="18">
        <v>14705.43</v>
      </c>
      <c r="I15" s="18">
        <v>13586.15</v>
      </c>
      <c r="J15" s="19">
        <v>92.4</v>
      </c>
      <c r="K15" s="19">
        <v>14545.11</v>
      </c>
      <c r="L15" s="19">
        <v>13306.31</v>
      </c>
      <c r="M15" s="19">
        <v>91.5</v>
      </c>
      <c r="N15" s="21" t="s">
        <v>7</v>
      </c>
    </row>
    <row r="16" spans="1:14" ht="30.6" x14ac:dyDescent="0.3">
      <c r="A16" s="22" t="s">
        <v>58</v>
      </c>
      <c r="B16" s="18">
        <v>12826.03</v>
      </c>
      <c r="C16" s="18">
        <v>13209.87</v>
      </c>
      <c r="D16" s="19">
        <v>103</v>
      </c>
      <c r="E16" s="42">
        <v>15002.17</v>
      </c>
      <c r="F16" s="18">
        <v>14634.86</v>
      </c>
      <c r="G16" s="19">
        <v>97.6</v>
      </c>
      <c r="H16" s="18">
        <v>15404.17</v>
      </c>
      <c r="I16" s="18">
        <v>15105.96</v>
      </c>
      <c r="J16" s="19">
        <v>98.1</v>
      </c>
      <c r="K16" s="19">
        <v>14719.25</v>
      </c>
      <c r="L16" s="19">
        <v>14716.52</v>
      </c>
      <c r="M16" s="19">
        <v>100</v>
      </c>
      <c r="N16" s="21" t="s">
        <v>8</v>
      </c>
    </row>
    <row r="17" spans="1:14" ht="40.799999999999997" x14ac:dyDescent="0.3">
      <c r="A17" s="22" t="s">
        <v>59</v>
      </c>
      <c r="B17" s="18">
        <v>26998.48</v>
      </c>
      <c r="C17" s="18">
        <v>17356.71</v>
      </c>
      <c r="D17" s="19">
        <v>64.3</v>
      </c>
      <c r="E17" s="42">
        <v>33657.199999999997</v>
      </c>
      <c r="F17" s="18">
        <v>17709.669999999998</v>
      </c>
      <c r="G17" s="19">
        <v>52.6</v>
      </c>
      <c r="H17" s="18">
        <v>36155.660000000003</v>
      </c>
      <c r="I17" s="18">
        <v>20447.86</v>
      </c>
      <c r="J17" s="19">
        <v>56.6</v>
      </c>
      <c r="K17" s="19">
        <v>36945.730000000003</v>
      </c>
      <c r="L17" s="19">
        <v>26026.51</v>
      </c>
      <c r="M17" s="19">
        <v>70.400000000000006</v>
      </c>
      <c r="N17" s="21" t="s">
        <v>9</v>
      </c>
    </row>
    <row r="18" spans="1:14" ht="102" x14ac:dyDescent="0.3">
      <c r="A18" s="22" t="s">
        <v>60</v>
      </c>
      <c r="B18" s="18">
        <v>14047.78</v>
      </c>
      <c r="C18" s="18">
        <v>11441.09</v>
      </c>
      <c r="D18" s="19">
        <v>81.400000000000006</v>
      </c>
      <c r="E18" s="42">
        <v>14795.42</v>
      </c>
      <c r="F18" s="18">
        <v>12023.56</v>
      </c>
      <c r="G18" s="19">
        <v>81.3</v>
      </c>
      <c r="H18" s="18">
        <v>17266.91</v>
      </c>
      <c r="I18" s="18">
        <v>13772.35</v>
      </c>
      <c r="J18" s="19">
        <v>79.8</v>
      </c>
      <c r="K18" s="19">
        <v>17788.11</v>
      </c>
      <c r="L18" s="19">
        <v>13985.85</v>
      </c>
      <c r="M18" s="19">
        <v>78.599999999999994</v>
      </c>
      <c r="N18" s="21" t="s">
        <v>10</v>
      </c>
    </row>
    <row r="19" spans="1:14" ht="61.2" x14ac:dyDescent="0.3">
      <c r="A19" s="22" t="s">
        <v>61</v>
      </c>
      <c r="B19" s="18">
        <v>10692.38</v>
      </c>
      <c r="C19" s="18">
        <v>7189.73</v>
      </c>
      <c r="D19" s="19">
        <v>67.2</v>
      </c>
      <c r="E19" s="42">
        <v>11411.88</v>
      </c>
      <c r="F19" s="18">
        <v>7488.02</v>
      </c>
      <c r="G19" s="19">
        <v>65.599999999999994</v>
      </c>
      <c r="H19" s="18">
        <v>11726.44</v>
      </c>
      <c r="I19" s="18">
        <v>7526.59</v>
      </c>
      <c r="J19" s="19">
        <v>64.2</v>
      </c>
      <c r="K19" s="19">
        <v>11811.54</v>
      </c>
      <c r="L19" s="19">
        <v>8234.9</v>
      </c>
      <c r="M19" s="19">
        <v>69.7</v>
      </c>
      <c r="N19" s="21" t="s">
        <v>11</v>
      </c>
    </row>
    <row r="20" spans="1:14" ht="71.400000000000006" x14ac:dyDescent="0.3">
      <c r="A20" s="17" t="s">
        <v>62</v>
      </c>
      <c r="B20" s="18">
        <v>8043.12</v>
      </c>
      <c r="C20" s="18">
        <v>7138.65</v>
      </c>
      <c r="D20" s="19">
        <v>88.8</v>
      </c>
      <c r="E20" s="42">
        <v>9005.64</v>
      </c>
      <c r="F20" s="18">
        <v>7935.5</v>
      </c>
      <c r="G20" s="19">
        <v>88.1</v>
      </c>
      <c r="H20" s="18">
        <v>9702.49</v>
      </c>
      <c r="I20" s="18">
        <v>8991.57</v>
      </c>
      <c r="J20" s="19">
        <v>92.7</v>
      </c>
      <c r="K20" s="19">
        <v>9982.02</v>
      </c>
      <c r="L20" s="19">
        <v>8713.32</v>
      </c>
      <c r="M20" s="19">
        <v>87.3</v>
      </c>
      <c r="N20" s="20" t="s">
        <v>12</v>
      </c>
    </row>
    <row r="21" spans="1:14" ht="40.799999999999997" x14ac:dyDescent="0.3">
      <c r="A21" s="17" t="s">
        <v>63</v>
      </c>
      <c r="B21" s="18">
        <v>26765.1</v>
      </c>
      <c r="C21" s="18">
        <v>19723.02</v>
      </c>
      <c r="D21" s="19">
        <v>73.7</v>
      </c>
      <c r="E21" s="42">
        <v>29724.43</v>
      </c>
      <c r="F21" s="18">
        <v>22142.68</v>
      </c>
      <c r="G21" s="19">
        <v>74.5</v>
      </c>
      <c r="H21" s="18">
        <v>28186.12</v>
      </c>
      <c r="I21" s="18">
        <v>21507.62</v>
      </c>
      <c r="J21" s="19">
        <v>76.3</v>
      </c>
      <c r="K21" s="19">
        <v>30572.25</v>
      </c>
      <c r="L21" s="19">
        <v>23857.19</v>
      </c>
      <c r="M21" s="19">
        <v>78</v>
      </c>
      <c r="N21" s="20" t="s">
        <v>13</v>
      </c>
    </row>
    <row r="22" spans="1:14" ht="40.799999999999997" x14ac:dyDescent="0.3">
      <c r="A22" s="17" t="s">
        <v>64</v>
      </c>
      <c r="B22" s="18">
        <v>30045.75</v>
      </c>
      <c r="C22" s="18">
        <v>20454.349999999999</v>
      </c>
      <c r="D22" s="19">
        <v>68.099999999999994</v>
      </c>
      <c r="E22" s="42">
        <v>28942.25</v>
      </c>
      <c r="F22" s="18">
        <v>19825</v>
      </c>
      <c r="G22" s="19">
        <v>68.5</v>
      </c>
      <c r="H22" s="18">
        <v>30253.79</v>
      </c>
      <c r="I22" s="18">
        <v>20359.900000000001</v>
      </c>
      <c r="J22" s="19">
        <v>67.3</v>
      </c>
      <c r="K22" s="19">
        <v>33197.300000000003</v>
      </c>
      <c r="L22" s="19">
        <v>22726.02</v>
      </c>
      <c r="M22" s="19">
        <v>68.5</v>
      </c>
      <c r="N22" s="20" t="s">
        <v>14</v>
      </c>
    </row>
    <row r="23" spans="1:14" ht="30.6" x14ac:dyDescent="0.3">
      <c r="A23" s="17" t="s">
        <v>65</v>
      </c>
      <c r="B23" s="18">
        <v>10372.299999999999</v>
      </c>
      <c r="C23" s="18">
        <v>9821.44</v>
      </c>
      <c r="D23" s="19">
        <v>94.7</v>
      </c>
      <c r="E23" s="42">
        <v>11579.15</v>
      </c>
      <c r="F23" s="18">
        <v>10375.68</v>
      </c>
      <c r="G23" s="19">
        <v>89.6</v>
      </c>
      <c r="H23" s="18">
        <v>11791.44</v>
      </c>
      <c r="I23" s="18">
        <v>10901.55</v>
      </c>
      <c r="J23" s="19">
        <v>92.5</v>
      </c>
      <c r="K23" s="19">
        <v>12465.46</v>
      </c>
      <c r="L23" s="19">
        <v>11288.83</v>
      </c>
      <c r="M23" s="19">
        <v>90.6</v>
      </c>
      <c r="N23" s="20" t="s">
        <v>15</v>
      </c>
    </row>
    <row r="24" spans="1:14" ht="51" x14ac:dyDescent="0.3">
      <c r="A24" s="17" t="s">
        <v>66</v>
      </c>
      <c r="B24" s="18">
        <v>20199.39</v>
      </c>
      <c r="C24" s="18">
        <v>15456.9</v>
      </c>
      <c r="D24" s="19">
        <v>76.5</v>
      </c>
      <c r="E24" s="42">
        <v>22030.59</v>
      </c>
      <c r="F24" s="18">
        <v>17408.400000000001</v>
      </c>
      <c r="G24" s="19">
        <v>79</v>
      </c>
      <c r="H24" s="18">
        <v>21751.52</v>
      </c>
      <c r="I24" s="18">
        <v>17184.68</v>
      </c>
      <c r="J24" s="19">
        <v>79</v>
      </c>
      <c r="K24" s="19">
        <v>23704.59</v>
      </c>
      <c r="L24" s="19">
        <v>18636.61</v>
      </c>
      <c r="M24" s="19">
        <v>78.599999999999994</v>
      </c>
      <c r="N24" s="20" t="s">
        <v>16</v>
      </c>
    </row>
    <row r="25" spans="1:14" ht="61.2" x14ac:dyDescent="0.3">
      <c r="A25" s="17" t="s">
        <v>67</v>
      </c>
      <c r="B25" s="18">
        <v>15084.09</v>
      </c>
      <c r="C25" s="18">
        <v>12674.22</v>
      </c>
      <c r="D25" s="19">
        <v>84</v>
      </c>
      <c r="E25" s="42">
        <v>16021.64</v>
      </c>
      <c r="F25" s="18">
        <v>13350.66</v>
      </c>
      <c r="G25" s="19">
        <v>83.3</v>
      </c>
      <c r="H25" s="18">
        <v>17277.18</v>
      </c>
      <c r="I25" s="18">
        <v>14099.88</v>
      </c>
      <c r="J25" s="19">
        <v>81.599999999999994</v>
      </c>
      <c r="K25" s="19">
        <v>18509.25</v>
      </c>
      <c r="L25" s="19">
        <v>15326.75</v>
      </c>
      <c r="M25" s="19">
        <v>82.8</v>
      </c>
      <c r="N25" s="21" t="s">
        <v>68</v>
      </c>
    </row>
    <row r="26" spans="1:14" ht="81.599999999999994" x14ac:dyDescent="0.3">
      <c r="A26" s="17" t="s">
        <v>69</v>
      </c>
      <c r="B26" s="18">
        <v>10563.79</v>
      </c>
      <c r="C26" s="18">
        <v>10565.86</v>
      </c>
      <c r="D26" s="19">
        <v>100</v>
      </c>
      <c r="E26" s="42">
        <v>10736.92</v>
      </c>
      <c r="F26" s="18">
        <v>10920.82</v>
      </c>
      <c r="G26" s="19">
        <v>101.7</v>
      </c>
      <c r="H26" s="18">
        <v>11173.64</v>
      </c>
      <c r="I26" s="18">
        <v>11495.47</v>
      </c>
      <c r="J26" s="19">
        <v>102.9</v>
      </c>
      <c r="K26" s="19">
        <v>12015.78</v>
      </c>
      <c r="L26" s="19">
        <v>12175.16</v>
      </c>
      <c r="M26" s="19">
        <v>101.3</v>
      </c>
      <c r="N26" s="20" t="s">
        <v>17</v>
      </c>
    </row>
    <row r="27" spans="1:14" ht="81.599999999999994" x14ac:dyDescent="0.3">
      <c r="A27" s="17" t="s">
        <v>70</v>
      </c>
      <c r="B27" s="18">
        <v>16943.87</v>
      </c>
      <c r="C27" s="18">
        <v>15343.93</v>
      </c>
      <c r="D27" s="19">
        <v>90.6</v>
      </c>
      <c r="E27" s="42">
        <v>19649.27</v>
      </c>
      <c r="F27" s="18">
        <v>17595.849999999999</v>
      </c>
      <c r="G27" s="19">
        <v>89.5</v>
      </c>
      <c r="H27" s="18">
        <v>21952.69</v>
      </c>
      <c r="I27" s="18">
        <v>19432.490000000002</v>
      </c>
      <c r="J27" s="19">
        <v>88.5</v>
      </c>
      <c r="K27" s="19">
        <v>23730.16</v>
      </c>
      <c r="L27" s="19">
        <v>20821.07</v>
      </c>
      <c r="M27" s="19">
        <v>87.7</v>
      </c>
      <c r="N27" s="20" t="s">
        <v>18</v>
      </c>
    </row>
    <row r="28" spans="1:14" x14ac:dyDescent="0.3">
      <c r="A28" s="17" t="s">
        <v>71</v>
      </c>
      <c r="B28" s="18">
        <v>11050.98</v>
      </c>
      <c r="C28" s="18">
        <v>10699.63</v>
      </c>
      <c r="D28" s="19">
        <v>96.8</v>
      </c>
      <c r="E28" s="42">
        <v>12493.3</v>
      </c>
      <c r="F28" s="18">
        <v>12103.29</v>
      </c>
      <c r="G28" s="19">
        <v>96.9</v>
      </c>
      <c r="H28" s="18">
        <v>12314.24</v>
      </c>
      <c r="I28" s="18">
        <v>11379.14</v>
      </c>
      <c r="J28" s="19">
        <v>92.4</v>
      </c>
      <c r="K28" s="19">
        <v>12979.22</v>
      </c>
      <c r="L28" s="19">
        <v>12651.08</v>
      </c>
      <c r="M28" s="19">
        <v>97.5</v>
      </c>
      <c r="N28" s="20" t="s">
        <v>19</v>
      </c>
    </row>
    <row r="29" spans="1:14" ht="61.2" x14ac:dyDescent="0.3">
      <c r="A29" s="17" t="s">
        <v>72</v>
      </c>
      <c r="B29" s="18">
        <v>12782.78</v>
      </c>
      <c r="C29" s="18">
        <v>10895.4</v>
      </c>
      <c r="D29" s="19">
        <v>85.2</v>
      </c>
      <c r="E29" s="42">
        <v>13265.44</v>
      </c>
      <c r="F29" s="18">
        <v>11441.33</v>
      </c>
      <c r="G29" s="19">
        <v>86.2</v>
      </c>
      <c r="H29" s="18">
        <v>12259.07</v>
      </c>
      <c r="I29" s="18">
        <v>10573.09</v>
      </c>
      <c r="J29" s="19">
        <v>86.2</v>
      </c>
      <c r="K29" s="19">
        <v>13905.96</v>
      </c>
      <c r="L29" s="19">
        <v>12232.32</v>
      </c>
      <c r="M29" s="19">
        <v>88</v>
      </c>
      <c r="N29" s="20" t="s">
        <v>20</v>
      </c>
    </row>
    <row r="30" spans="1:14" ht="30.6" x14ac:dyDescent="0.3">
      <c r="A30" s="17" t="s">
        <v>73</v>
      </c>
      <c r="B30" s="18">
        <v>13076.86</v>
      </c>
      <c r="C30" s="18">
        <v>11134.36</v>
      </c>
      <c r="D30" s="19">
        <v>85.1</v>
      </c>
      <c r="E30" s="42">
        <v>13550.53</v>
      </c>
      <c r="F30" s="18">
        <v>11650.61</v>
      </c>
      <c r="G30" s="19">
        <v>86</v>
      </c>
      <c r="H30" s="18">
        <v>12447.34</v>
      </c>
      <c r="I30" s="18">
        <v>10682.8</v>
      </c>
      <c r="J30" s="19">
        <v>85.8</v>
      </c>
      <c r="K30" s="19">
        <v>14185.25</v>
      </c>
      <c r="L30" s="19">
        <v>12428.91</v>
      </c>
      <c r="M30" s="19">
        <v>87.6</v>
      </c>
      <c r="N30" s="21" t="s">
        <v>74</v>
      </c>
    </row>
    <row r="31" spans="1:14" ht="40.799999999999997" x14ac:dyDescent="0.3">
      <c r="A31" s="17" t="s">
        <v>75</v>
      </c>
      <c r="B31" s="18">
        <v>14709.25</v>
      </c>
      <c r="C31" s="18">
        <v>9680.99</v>
      </c>
      <c r="D31" s="19">
        <v>65.8</v>
      </c>
      <c r="E31" s="42">
        <v>15606.09</v>
      </c>
      <c r="F31" s="18">
        <v>10268.459999999999</v>
      </c>
      <c r="G31" s="19">
        <v>65.8</v>
      </c>
      <c r="H31" s="18">
        <v>17292.599999999999</v>
      </c>
      <c r="I31" s="18">
        <v>10714.84</v>
      </c>
      <c r="J31" s="19">
        <v>62</v>
      </c>
      <c r="K31" s="19">
        <v>17208.39</v>
      </c>
      <c r="L31" s="19">
        <v>11656.09</v>
      </c>
      <c r="M31" s="19">
        <v>67.7</v>
      </c>
      <c r="N31" s="20" t="s">
        <v>21</v>
      </c>
    </row>
    <row r="32" spans="1:14" ht="71.400000000000006" x14ac:dyDescent="0.3">
      <c r="A32" s="22" t="s">
        <v>76</v>
      </c>
      <c r="B32" s="18">
        <v>12045.22</v>
      </c>
      <c r="C32" s="18">
        <v>9634.2999999999993</v>
      </c>
      <c r="D32" s="19">
        <v>80</v>
      </c>
      <c r="E32" s="42">
        <v>12009.8</v>
      </c>
      <c r="F32" s="18">
        <v>10401.27</v>
      </c>
      <c r="G32" s="19">
        <v>86.6</v>
      </c>
      <c r="H32" s="18">
        <v>13211.5</v>
      </c>
      <c r="I32" s="18">
        <v>10701.49</v>
      </c>
      <c r="J32" s="19">
        <v>81</v>
      </c>
      <c r="K32" s="19">
        <v>13560.82</v>
      </c>
      <c r="L32" s="19">
        <v>11649.55</v>
      </c>
      <c r="M32" s="19">
        <v>85.9</v>
      </c>
      <c r="N32" s="21" t="s">
        <v>77</v>
      </c>
    </row>
    <row r="33" spans="1:30" ht="81.599999999999994" x14ac:dyDescent="0.3">
      <c r="A33" s="22" t="s">
        <v>78</v>
      </c>
      <c r="B33" s="18">
        <v>10066.11</v>
      </c>
      <c r="C33" s="18">
        <v>9155.76</v>
      </c>
      <c r="D33" s="19">
        <v>91</v>
      </c>
      <c r="E33" s="42">
        <v>11241.54</v>
      </c>
      <c r="F33" s="18">
        <v>9933.34</v>
      </c>
      <c r="G33" s="19">
        <v>88.4</v>
      </c>
      <c r="H33" s="18">
        <v>11694.44</v>
      </c>
      <c r="I33" s="18">
        <v>10631.36</v>
      </c>
      <c r="J33" s="19">
        <v>90.9</v>
      </c>
      <c r="K33" s="19">
        <v>12325.67</v>
      </c>
      <c r="L33" s="19">
        <v>11037.84</v>
      </c>
      <c r="M33" s="19">
        <v>89.6</v>
      </c>
      <c r="N33" s="21" t="s">
        <v>23</v>
      </c>
    </row>
    <row r="34" spans="1:30" ht="40.799999999999997" x14ac:dyDescent="0.3">
      <c r="A34" s="17" t="s">
        <v>79</v>
      </c>
      <c r="B34" s="18">
        <v>12705.72</v>
      </c>
      <c r="C34" s="18">
        <v>11624.46</v>
      </c>
      <c r="D34" s="19">
        <v>91.5</v>
      </c>
      <c r="E34" s="42">
        <v>13287.27</v>
      </c>
      <c r="F34" s="18">
        <v>12518.02</v>
      </c>
      <c r="G34" s="19">
        <v>94.2</v>
      </c>
      <c r="H34" s="18">
        <v>14446.74</v>
      </c>
      <c r="I34" s="18">
        <v>13248.25</v>
      </c>
      <c r="J34" s="19">
        <v>91.7</v>
      </c>
      <c r="K34" s="19">
        <v>14017.91</v>
      </c>
      <c r="L34" s="19">
        <v>14147.15</v>
      </c>
      <c r="M34" s="19">
        <v>100.9</v>
      </c>
      <c r="N34" s="20" t="s">
        <v>24</v>
      </c>
    </row>
    <row r="35" spans="1:30" x14ac:dyDescent="0.3">
      <c r="A35" s="23"/>
      <c r="B35" s="23"/>
      <c r="C35" s="9"/>
      <c r="D35" s="9"/>
      <c r="E35" s="40"/>
      <c r="F35" s="9"/>
      <c r="G35" s="9"/>
      <c r="H35" s="9"/>
      <c r="I35" s="9"/>
      <c r="J35" s="9"/>
      <c r="K35" s="9"/>
      <c r="L35" s="9"/>
      <c r="M35" s="9"/>
      <c r="N35" s="9"/>
    </row>
    <row r="36" spans="1:30" x14ac:dyDescent="0.3">
      <c r="A36" s="95" t="s">
        <v>80</v>
      </c>
      <c r="B36" s="95"/>
      <c r="C36" s="95"/>
      <c r="D36" s="95"/>
      <c r="E36" s="95"/>
      <c r="F36" s="95"/>
      <c r="G36" s="95"/>
      <c r="H36" s="95"/>
      <c r="I36" s="95"/>
      <c r="J36" s="95"/>
      <c r="K36" s="95"/>
      <c r="L36" s="95"/>
      <c r="M36" s="95"/>
      <c r="N36" s="95"/>
    </row>
    <row r="37" spans="1:30" x14ac:dyDescent="0.3">
      <c r="A37" s="91" t="s">
        <v>81</v>
      </c>
      <c r="B37" s="91"/>
      <c r="C37" s="91"/>
      <c r="D37" s="91"/>
      <c r="E37" s="91"/>
      <c r="F37" s="91"/>
      <c r="G37" s="91"/>
      <c r="H37" s="91"/>
      <c r="I37" s="91"/>
      <c r="J37" s="91"/>
      <c r="K37" s="91"/>
      <c r="L37" s="91"/>
      <c r="M37" s="91"/>
      <c r="N37" s="91"/>
    </row>
    <row r="40" spans="1:30" ht="102" x14ac:dyDescent="0.3">
      <c r="A40" s="89" t="s">
        <v>40</v>
      </c>
      <c r="B40" s="90"/>
      <c r="C40" s="79"/>
      <c r="D40" s="13" t="s">
        <v>49</v>
      </c>
      <c r="E40" s="43" t="s">
        <v>50</v>
      </c>
      <c r="F40" s="17" t="s">
        <v>51</v>
      </c>
      <c r="G40" s="17" t="s">
        <v>53</v>
      </c>
      <c r="H40" s="17" t="s">
        <v>54</v>
      </c>
      <c r="I40" s="17" t="s">
        <v>55</v>
      </c>
      <c r="J40" s="17" t="s">
        <v>56</v>
      </c>
      <c r="K40" s="22" t="s">
        <v>57</v>
      </c>
      <c r="L40" s="22" t="s">
        <v>58</v>
      </c>
      <c r="M40" s="22" t="s">
        <v>59</v>
      </c>
      <c r="N40" s="22" t="s">
        <v>60</v>
      </c>
      <c r="O40" s="22" t="s">
        <v>61</v>
      </c>
      <c r="P40" s="17" t="s">
        <v>62</v>
      </c>
      <c r="Q40" s="17" t="s">
        <v>63</v>
      </c>
      <c r="R40" s="17" t="s">
        <v>64</v>
      </c>
      <c r="S40" s="17" t="s">
        <v>65</v>
      </c>
      <c r="T40" s="43" t="s">
        <v>66</v>
      </c>
      <c r="U40" s="17" t="s">
        <v>67</v>
      </c>
      <c r="V40" s="17" t="s">
        <v>69</v>
      </c>
      <c r="W40" s="17" t="s">
        <v>70</v>
      </c>
      <c r="X40" s="17" t="s">
        <v>71</v>
      </c>
      <c r="Y40" s="43" t="s">
        <v>72</v>
      </c>
      <c r="Z40" s="17" t="s">
        <v>73</v>
      </c>
      <c r="AA40" s="17" t="s">
        <v>75</v>
      </c>
      <c r="AB40" s="22" t="s">
        <v>76</v>
      </c>
      <c r="AC40" s="22" t="s">
        <v>78</v>
      </c>
      <c r="AD40" s="17" t="s">
        <v>79</v>
      </c>
    </row>
    <row r="41" spans="1:30" x14ac:dyDescent="0.3">
      <c r="A41" s="76" t="s">
        <v>41</v>
      </c>
      <c r="B41" s="78" t="s">
        <v>45</v>
      </c>
      <c r="C41" s="79"/>
      <c r="D41" s="14">
        <v>14191.09</v>
      </c>
      <c r="E41" s="42">
        <v>10294.93</v>
      </c>
      <c r="F41" s="18">
        <v>9987.2199999999993</v>
      </c>
      <c r="G41" s="18">
        <v>15312.32</v>
      </c>
      <c r="H41" s="18">
        <v>9919.02</v>
      </c>
      <c r="I41" s="18">
        <v>14014.24</v>
      </c>
      <c r="J41" s="18">
        <v>13169.88</v>
      </c>
      <c r="K41" s="18">
        <v>11627.31</v>
      </c>
      <c r="L41" s="18">
        <v>12826.03</v>
      </c>
      <c r="M41" s="18">
        <v>26998.48</v>
      </c>
      <c r="N41" s="18">
        <v>14047.78</v>
      </c>
      <c r="O41" s="18">
        <v>10692.38</v>
      </c>
      <c r="P41" s="18">
        <v>8043.12</v>
      </c>
      <c r="Q41" s="18">
        <v>26765.1</v>
      </c>
      <c r="R41" s="18">
        <v>30045.75</v>
      </c>
      <c r="S41" s="18">
        <v>10372.299999999999</v>
      </c>
      <c r="T41" s="42">
        <v>20199.39</v>
      </c>
      <c r="U41" s="18">
        <v>15084.09</v>
      </c>
      <c r="V41" s="18">
        <v>10563.79</v>
      </c>
      <c r="W41" s="18">
        <v>16943.87</v>
      </c>
      <c r="X41" s="18">
        <v>11050.98</v>
      </c>
      <c r="Y41" s="42">
        <v>12782.78</v>
      </c>
      <c r="Z41" s="18">
        <v>13076.86</v>
      </c>
      <c r="AA41" s="18">
        <v>14709.25</v>
      </c>
      <c r="AB41" s="18">
        <v>12045.22</v>
      </c>
      <c r="AC41" s="18">
        <v>10066.11</v>
      </c>
      <c r="AD41" s="18">
        <v>12705.72</v>
      </c>
    </row>
    <row r="42" spans="1:30" x14ac:dyDescent="0.3">
      <c r="A42" s="77"/>
      <c r="B42" s="76" t="s">
        <v>46</v>
      </c>
      <c r="C42" s="10" t="s">
        <v>47</v>
      </c>
      <c r="D42" s="14">
        <v>11669.87</v>
      </c>
      <c r="E42" s="42">
        <v>9164.4</v>
      </c>
      <c r="F42" s="18">
        <v>8921.4599999999991</v>
      </c>
      <c r="G42" s="18">
        <v>11417.25</v>
      </c>
      <c r="H42" s="18">
        <v>9270.7800000000007</v>
      </c>
      <c r="I42" s="18">
        <v>11418.6</v>
      </c>
      <c r="J42" s="18">
        <v>10387.32</v>
      </c>
      <c r="K42" s="18">
        <v>10932.83</v>
      </c>
      <c r="L42" s="18">
        <v>13209.87</v>
      </c>
      <c r="M42" s="18">
        <v>17356.71</v>
      </c>
      <c r="N42" s="18">
        <v>11441.09</v>
      </c>
      <c r="O42" s="18">
        <v>7189.73</v>
      </c>
      <c r="P42" s="18">
        <v>7138.65</v>
      </c>
      <c r="Q42" s="18">
        <v>19723.02</v>
      </c>
      <c r="R42" s="18">
        <v>20454.349999999999</v>
      </c>
      <c r="S42" s="18">
        <v>9821.44</v>
      </c>
      <c r="T42" s="42">
        <v>15456.9</v>
      </c>
      <c r="U42" s="18">
        <v>12674.22</v>
      </c>
      <c r="V42" s="18">
        <v>10565.86</v>
      </c>
      <c r="W42" s="18">
        <v>15343.93</v>
      </c>
      <c r="X42" s="18">
        <v>10699.63</v>
      </c>
      <c r="Y42" s="42">
        <v>10895.4</v>
      </c>
      <c r="Z42" s="18">
        <v>11134.36</v>
      </c>
      <c r="AA42" s="18">
        <v>9680.99</v>
      </c>
      <c r="AB42" s="18">
        <v>9634.2999999999993</v>
      </c>
      <c r="AC42" s="18">
        <v>9155.76</v>
      </c>
      <c r="AD42" s="18">
        <v>11624.46</v>
      </c>
    </row>
    <row r="43" spans="1:30" ht="71.400000000000006" x14ac:dyDescent="0.3">
      <c r="A43" s="88"/>
      <c r="B43" s="88"/>
      <c r="C43" s="11" t="s">
        <v>48</v>
      </c>
      <c r="D43" s="15">
        <v>82.2</v>
      </c>
      <c r="E43" s="44">
        <v>89</v>
      </c>
      <c r="F43" s="19">
        <v>89.3</v>
      </c>
      <c r="G43" s="19">
        <v>74.599999999999994</v>
      </c>
      <c r="H43" s="19">
        <v>93.5</v>
      </c>
      <c r="I43" s="19">
        <v>81.5</v>
      </c>
      <c r="J43" s="19">
        <v>78.900000000000006</v>
      </c>
      <c r="K43" s="19">
        <v>94</v>
      </c>
      <c r="L43" s="19">
        <v>103</v>
      </c>
      <c r="M43" s="19">
        <v>64.3</v>
      </c>
      <c r="N43" s="19">
        <v>81.400000000000006</v>
      </c>
      <c r="O43" s="19">
        <v>67.2</v>
      </c>
      <c r="P43" s="19">
        <v>88.8</v>
      </c>
      <c r="Q43" s="19">
        <v>73.7</v>
      </c>
      <c r="R43" s="19">
        <v>68.099999999999994</v>
      </c>
      <c r="S43" s="19">
        <v>94.7</v>
      </c>
      <c r="T43" s="44">
        <v>76.5</v>
      </c>
      <c r="U43" s="19">
        <v>84</v>
      </c>
      <c r="V43" s="19">
        <v>100</v>
      </c>
      <c r="W43" s="19">
        <v>90.6</v>
      </c>
      <c r="X43" s="19">
        <v>96.8</v>
      </c>
      <c r="Y43" s="44">
        <v>85.2</v>
      </c>
      <c r="Z43" s="19">
        <v>85.1</v>
      </c>
      <c r="AA43" s="19">
        <v>65.8</v>
      </c>
      <c r="AB43" s="19">
        <v>80</v>
      </c>
      <c r="AC43" s="19">
        <v>91</v>
      </c>
      <c r="AD43" s="19">
        <v>91.5</v>
      </c>
    </row>
    <row r="44" spans="1:30" x14ac:dyDescent="0.3">
      <c r="A44" s="85" t="s">
        <v>42</v>
      </c>
      <c r="B44" s="78" t="s">
        <v>45</v>
      </c>
      <c r="C44" s="79"/>
      <c r="D44" s="14">
        <v>15189.33</v>
      </c>
      <c r="E44" s="42">
        <v>12774.28</v>
      </c>
      <c r="F44" s="18">
        <v>12537.93</v>
      </c>
      <c r="G44" s="18">
        <v>15998.31</v>
      </c>
      <c r="H44" s="18">
        <v>11338.01</v>
      </c>
      <c r="I44" s="18">
        <v>14523.59</v>
      </c>
      <c r="J44" s="18">
        <v>14319.58</v>
      </c>
      <c r="K44" s="18">
        <v>12910.51</v>
      </c>
      <c r="L44" s="18">
        <v>15002.17</v>
      </c>
      <c r="M44" s="18">
        <v>33657.199999999997</v>
      </c>
      <c r="N44" s="18">
        <v>14795.42</v>
      </c>
      <c r="O44" s="18">
        <v>11411.88</v>
      </c>
      <c r="P44" s="18">
        <v>9005.64</v>
      </c>
      <c r="Q44" s="18">
        <v>29724.43</v>
      </c>
      <c r="R44" s="18">
        <v>28942.25</v>
      </c>
      <c r="S44" s="18">
        <v>11579.15</v>
      </c>
      <c r="T44" s="42">
        <v>22030.59</v>
      </c>
      <c r="U44" s="18">
        <v>16021.64</v>
      </c>
      <c r="V44" s="18">
        <v>10736.92</v>
      </c>
      <c r="W44" s="18">
        <v>19649.27</v>
      </c>
      <c r="X44" s="18">
        <v>12493.3</v>
      </c>
      <c r="Y44" s="42">
        <v>13265.44</v>
      </c>
      <c r="Z44" s="18">
        <v>13550.53</v>
      </c>
      <c r="AA44" s="18">
        <v>15606.09</v>
      </c>
      <c r="AB44" s="18">
        <v>12009.8</v>
      </c>
      <c r="AC44" s="18">
        <v>11241.54</v>
      </c>
      <c r="AD44" s="18">
        <v>13287.27</v>
      </c>
    </row>
    <row r="45" spans="1:30" x14ac:dyDescent="0.3">
      <c r="A45" s="86"/>
      <c r="B45" s="76" t="s">
        <v>46</v>
      </c>
      <c r="C45" s="10" t="s">
        <v>47</v>
      </c>
      <c r="D45" s="14">
        <v>12552.93</v>
      </c>
      <c r="E45" s="42">
        <v>10193.870000000001</v>
      </c>
      <c r="F45" s="18">
        <v>9835.7900000000009</v>
      </c>
      <c r="G45" s="18">
        <v>11953.77</v>
      </c>
      <c r="H45" s="18">
        <v>9808.2099999999991</v>
      </c>
      <c r="I45" s="18">
        <v>11727.8</v>
      </c>
      <c r="J45" s="18">
        <v>11024.47</v>
      </c>
      <c r="K45" s="18">
        <v>11865.29</v>
      </c>
      <c r="L45" s="18">
        <v>14634.86</v>
      </c>
      <c r="M45" s="18">
        <v>17709.669999999998</v>
      </c>
      <c r="N45" s="18">
        <v>12023.56</v>
      </c>
      <c r="O45" s="18">
        <v>7488.02</v>
      </c>
      <c r="P45" s="18">
        <v>7935.5</v>
      </c>
      <c r="Q45" s="18">
        <v>22142.68</v>
      </c>
      <c r="R45" s="18">
        <v>19825</v>
      </c>
      <c r="S45" s="18">
        <v>10375.68</v>
      </c>
      <c r="T45" s="42">
        <v>17408.400000000001</v>
      </c>
      <c r="U45" s="18">
        <v>13350.66</v>
      </c>
      <c r="V45" s="18">
        <v>10920.82</v>
      </c>
      <c r="W45" s="18">
        <v>17595.849999999999</v>
      </c>
      <c r="X45" s="18">
        <v>12103.29</v>
      </c>
      <c r="Y45" s="42">
        <v>11441.33</v>
      </c>
      <c r="Z45" s="18">
        <v>11650.61</v>
      </c>
      <c r="AA45" s="18">
        <v>10268.459999999999</v>
      </c>
      <c r="AB45" s="18">
        <v>10401.27</v>
      </c>
      <c r="AC45" s="18">
        <v>9933.34</v>
      </c>
      <c r="AD45" s="18">
        <v>12518.02</v>
      </c>
    </row>
    <row r="46" spans="1:30" ht="71.400000000000006" x14ac:dyDescent="0.3">
      <c r="A46" s="87"/>
      <c r="B46" s="88"/>
      <c r="C46" s="11" t="s">
        <v>48</v>
      </c>
      <c r="D46" s="15">
        <v>82.6</v>
      </c>
      <c r="E46" s="44">
        <v>79.8</v>
      </c>
      <c r="F46" s="19">
        <v>78.400000000000006</v>
      </c>
      <c r="G46" s="19">
        <v>74.7</v>
      </c>
      <c r="H46" s="19">
        <v>86.5</v>
      </c>
      <c r="I46" s="19">
        <v>80.8</v>
      </c>
      <c r="J46" s="19">
        <v>77</v>
      </c>
      <c r="K46" s="19">
        <v>91.9</v>
      </c>
      <c r="L46" s="19">
        <v>97.6</v>
      </c>
      <c r="M46" s="19">
        <v>52.6</v>
      </c>
      <c r="N46" s="19">
        <v>81.3</v>
      </c>
      <c r="O46" s="19">
        <v>65.599999999999994</v>
      </c>
      <c r="P46" s="19">
        <v>88.1</v>
      </c>
      <c r="Q46" s="19">
        <v>74.5</v>
      </c>
      <c r="R46" s="19">
        <v>68.5</v>
      </c>
      <c r="S46" s="19">
        <v>89.6</v>
      </c>
      <c r="T46" s="44">
        <v>79</v>
      </c>
      <c r="U46" s="19">
        <v>83.3</v>
      </c>
      <c r="V46" s="19">
        <v>101.7</v>
      </c>
      <c r="W46" s="19">
        <v>89.5</v>
      </c>
      <c r="X46" s="19">
        <v>96.9</v>
      </c>
      <c r="Y46" s="44">
        <v>86.2</v>
      </c>
      <c r="Z46" s="19">
        <v>86</v>
      </c>
      <c r="AA46" s="19">
        <v>65.8</v>
      </c>
      <c r="AB46" s="19">
        <v>86.6</v>
      </c>
      <c r="AC46" s="19">
        <v>88.4</v>
      </c>
      <c r="AD46" s="19">
        <v>94.2</v>
      </c>
    </row>
    <row r="47" spans="1:30" x14ac:dyDescent="0.3">
      <c r="A47" s="76" t="s">
        <v>43</v>
      </c>
      <c r="B47" s="78" t="s">
        <v>45</v>
      </c>
      <c r="C47" s="79"/>
      <c r="D47" s="14">
        <v>15958.12</v>
      </c>
      <c r="E47" s="42">
        <v>13508.54</v>
      </c>
      <c r="F47" s="18">
        <v>12812.79</v>
      </c>
      <c r="G47" s="18">
        <v>16811.78</v>
      </c>
      <c r="H47" s="18">
        <v>12378.14</v>
      </c>
      <c r="I47" s="18">
        <v>15142.22</v>
      </c>
      <c r="J47" s="18">
        <v>16426.25</v>
      </c>
      <c r="K47" s="18">
        <v>14705.43</v>
      </c>
      <c r="L47" s="18">
        <v>15404.17</v>
      </c>
      <c r="M47" s="18">
        <v>36155.660000000003</v>
      </c>
      <c r="N47" s="18">
        <v>17266.91</v>
      </c>
      <c r="O47" s="18">
        <v>11726.44</v>
      </c>
      <c r="P47" s="18">
        <v>9702.49</v>
      </c>
      <c r="Q47" s="18">
        <v>28186.12</v>
      </c>
      <c r="R47" s="18">
        <v>30253.79</v>
      </c>
      <c r="S47" s="18">
        <v>11791.44</v>
      </c>
      <c r="T47" s="42">
        <v>21751.52</v>
      </c>
      <c r="U47" s="18">
        <v>17277.18</v>
      </c>
      <c r="V47" s="18">
        <v>11173.64</v>
      </c>
      <c r="W47" s="18">
        <v>21952.69</v>
      </c>
      <c r="X47" s="18">
        <v>12314.24</v>
      </c>
      <c r="Y47" s="42">
        <v>12259.07</v>
      </c>
      <c r="Z47" s="18">
        <v>12447.34</v>
      </c>
      <c r="AA47" s="18">
        <v>17292.599999999999</v>
      </c>
      <c r="AB47" s="18">
        <v>13211.5</v>
      </c>
      <c r="AC47" s="18">
        <v>11694.44</v>
      </c>
      <c r="AD47" s="18">
        <v>14446.74</v>
      </c>
    </row>
    <row r="48" spans="1:30" x14ac:dyDescent="0.3">
      <c r="A48" s="77"/>
      <c r="B48" s="76" t="s">
        <v>46</v>
      </c>
      <c r="C48" s="10" t="s">
        <v>47</v>
      </c>
      <c r="D48" s="14">
        <v>12661.37</v>
      </c>
      <c r="E48" s="42">
        <v>10530.08</v>
      </c>
      <c r="F48" s="18">
        <v>9925.31</v>
      </c>
      <c r="G48" s="18">
        <v>12588</v>
      </c>
      <c r="H48" s="18">
        <v>10475.870000000001</v>
      </c>
      <c r="I48" s="18">
        <v>12335.83</v>
      </c>
      <c r="J48" s="18">
        <v>12371.33</v>
      </c>
      <c r="K48" s="18">
        <v>13586.15</v>
      </c>
      <c r="L48" s="18">
        <v>15105.96</v>
      </c>
      <c r="M48" s="18">
        <v>20447.86</v>
      </c>
      <c r="N48" s="18">
        <v>13772.35</v>
      </c>
      <c r="O48" s="18">
        <v>7526.59</v>
      </c>
      <c r="P48" s="18">
        <v>8991.57</v>
      </c>
      <c r="Q48" s="18">
        <v>21507.62</v>
      </c>
      <c r="R48" s="18">
        <v>20359.900000000001</v>
      </c>
      <c r="S48" s="18">
        <v>10901.55</v>
      </c>
      <c r="T48" s="42">
        <v>17184.68</v>
      </c>
      <c r="U48" s="18">
        <v>14099.88</v>
      </c>
      <c r="V48" s="18">
        <v>11495.47</v>
      </c>
      <c r="W48" s="18">
        <v>19432.490000000002</v>
      </c>
      <c r="X48" s="18">
        <v>11379.14</v>
      </c>
      <c r="Y48" s="42">
        <v>10573.09</v>
      </c>
      <c r="Z48" s="18">
        <v>10682.8</v>
      </c>
      <c r="AA48" s="18">
        <v>10714.84</v>
      </c>
      <c r="AB48" s="18">
        <v>10701.49</v>
      </c>
      <c r="AC48" s="18">
        <v>10631.36</v>
      </c>
      <c r="AD48" s="18">
        <v>13248.25</v>
      </c>
    </row>
    <row r="49" spans="1:30" ht="71.400000000000006" x14ac:dyDescent="0.3">
      <c r="A49" s="88"/>
      <c r="B49" s="88"/>
      <c r="C49" s="11" t="s">
        <v>48</v>
      </c>
      <c r="D49" s="15">
        <v>79.3</v>
      </c>
      <c r="E49" s="44">
        <v>78</v>
      </c>
      <c r="F49" s="19">
        <v>77.5</v>
      </c>
      <c r="G49" s="19">
        <v>74.900000000000006</v>
      </c>
      <c r="H49" s="19">
        <v>84.6</v>
      </c>
      <c r="I49" s="19">
        <v>81.5</v>
      </c>
      <c r="J49" s="19">
        <v>75.3</v>
      </c>
      <c r="K49" s="19">
        <v>92.4</v>
      </c>
      <c r="L49" s="19">
        <v>98.1</v>
      </c>
      <c r="M49" s="19">
        <v>56.6</v>
      </c>
      <c r="N49" s="19">
        <v>79.8</v>
      </c>
      <c r="O49" s="19">
        <v>64.2</v>
      </c>
      <c r="P49" s="19">
        <v>92.7</v>
      </c>
      <c r="Q49" s="19">
        <v>76.3</v>
      </c>
      <c r="R49" s="19">
        <v>67.3</v>
      </c>
      <c r="S49" s="19">
        <v>92.5</v>
      </c>
      <c r="T49" s="44">
        <v>79</v>
      </c>
      <c r="U49" s="19">
        <v>81.599999999999994</v>
      </c>
      <c r="V49" s="19">
        <v>102.9</v>
      </c>
      <c r="W49" s="19">
        <v>88.5</v>
      </c>
      <c r="X49" s="19">
        <v>92.4</v>
      </c>
      <c r="Y49" s="44">
        <v>86.2</v>
      </c>
      <c r="Z49" s="19">
        <v>85.8</v>
      </c>
      <c r="AA49" s="19">
        <v>62</v>
      </c>
      <c r="AB49" s="19">
        <v>81</v>
      </c>
      <c r="AC49" s="19">
        <v>90.9</v>
      </c>
      <c r="AD49" s="19">
        <v>91.7</v>
      </c>
    </row>
    <row r="50" spans="1:30" x14ac:dyDescent="0.3">
      <c r="A50" s="76" t="s">
        <v>44</v>
      </c>
      <c r="B50" s="78" t="s">
        <v>45</v>
      </c>
      <c r="C50" s="79"/>
      <c r="D50" s="15">
        <v>16912.32</v>
      </c>
      <c r="E50" s="44">
        <v>15174.01</v>
      </c>
      <c r="F50" s="19">
        <v>14323.3</v>
      </c>
      <c r="G50" s="19">
        <v>17681.95</v>
      </c>
      <c r="H50" s="19">
        <v>12461.56</v>
      </c>
      <c r="I50" s="19">
        <v>16234.6</v>
      </c>
      <c r="J50" s="19">
        <v>16619.61</v>
      </c>
      <c r="K50" s="19">
        <v>14545.11</v>
      </c>
      <c r="L50" s="19">
        <v>14719.25</v>
      </c>
      <c r="M50" s="19">
        <v>36945.730000000003</v>
      </c>
      <c r="N50" s="19">
        <v>17788.11</v>
      </c>
      <c r="O50" s="19">
        <v>11811.54</v>
      </c>
      <c r="P50" s="19">
        <v>9982.02</v>
      </c>
      <c r="Q50" s="19">
        <v>30572.25</v>
      </c>
      <c r="R50" s="19">
        <v>33197.300000000003</v>
      </c>
      <c r="S50" s="19">
        <v>12465.46</v>
      </c>
      <c r="T50" s="44">
        <v>23704.59</v>
      </c>
      <c r="U50" s="19">
        <v>18509.25</v>
      </c>
      <c r="V50" s="19">
        <v>12015.78</v>
      </c>
      <c r="W50" s="19">
        <v>23730.16</v>
      </c>
      <c r="X50" s="19">
        <v>12979.22</v>
      </c>
      <c r="Y50" s="44">
        <v>13905.96</v>
      </c>
      <c r="Z50" s="19">
        <v>14185.25</v>
      </c>
      <c r="AA50" s="19">
        <v>17208.39</v>
      </c>
      <c r="AB50" s="19">
        <v>13560.82</v>
      </c>
      <c r="AC50" s="19">
        <v>12325.67</v>
      </c>
      <c r="AD50" s="19">
        <v>14017.91</v>
      </c>
    </row>
    <row r="51" spans="1:30" x14ac:dyDescent="0.3">
      <c r="A51" s="77"/>
      <c r="B51" s="76" t="s">
        <v>46</v>
      </c>
      <c r="C51" s="10" t="s">
        <v>47</v>
      </c>
      <c r="D51" s="15">
        <v>13802.48</v>
      </c>
      <c r="E51" s="44">
        <v>11965.09</v>
      </c>
      <c r="F51" s="19">
        <v>11136.23</v>
      </c>
      <c r="G51" s="19">
        <v>13322.92</v>
      </c>
      <c r="H51" s="19">
        <v>10850.54</v>
      </c>
      <c r="I51" s="19">
        <v>13034.01</v>
      </c>
      <c r="J51" s="19">
        <v>12726.41</v>
      </c>
      <c r="K51" s="19">
        <v>13306.31</v>
      </c>
      <c r="L51" s="19">
        <v>14716.52</v>
      </c>
      <c r="M51" s="19">
        <v>26026.51</v>
      </c>
      <c r="N51" s="19">
        <v>13985.85</v>
      </c>
      <c r="O51" s="19">
        <v>8234.9</v>
      </c>
      <c r="P51" s="19">
        <v>8713.32</v>
      </c>
      <c r="Q51" s="19">
        <v>23857.19</v>
      </c>
      <c r="R51" s="19">
        <v>22726.02</v>
      </c>
      <c r="S51" s="19">
        <v>11288.83</v>
      </c>
      <c r="T51" s="44">
        <v>18636.61</v>
      </c>
      <c r="U51" s="19">
        <v>15326.75</v>
      </c>
      <c r="V51" s="19">
        <v>12175.16</v>
      </c>
      <c r="W51" s="19">
        <v>20821.07</v>
      </c>
      <c r="X51" s="19">
        <v>12651.08</v>
      </c>
      <c r="Y51" s="44">
        <v>12232.32</v>
      </c>
      <c r="Z51" s="19">
        <v>12428.91</v>
      </c>
      <c r="AA51" s="19">
        <v>11656.09</v>
      </c>
      <c r="AB51" s="19">
        <v>11649.55</v>
      </c>
      <c r="AC51" s="19">
        <v>11037.84</v>
      </c>
      <c r="AD51" s="19">
        <v>14147.15</v>
      </c>
    </row>
    <row r="52" spans="1:30" ht="71.400000000000006" x14ac:dyDescent="0.3">
      <c r="A52" s="77"/>
      <c r="B52" s="77"/>
      <c r="C52" s="12" t="s">
        <v>48</v>
      </c>
      <c r="D52" s="15">
        <v>81.599999999999994</v>
      </c>
      <c r="E52" s="44">
        <v>78.900000000000006</v>
      </c>
      <c r="F52" s="19">
        <v>77.7</v>
      </c>
      <c r="G52" s="19">
        <v>75.3</v>
      </c>
      <c r="H52" s="19">
        <v>87.1</v>
      </c>
      <c r="I52" s="19">
        <v>80.3</v>
      </c>
      <c r="J52" s="19">
        <v>76.599999999999994</v>
      </c>
      <c r="K52" s="19">
        <v>91.5</v>
      </c>
      <c r="L52" s="19">
        <v>100</v>
      </c>
      <c r="M52" s="19">
        <v>70.400000000000006</v>
      </c>
      <c r="N52" s="19">
        <v>78.599999999999994</v>
      </c>
      <c r="O52" s="19">
        <v>69.7</v>
      </c>
      <c r="P52" s="19">
        <v>87.3</v>
      </c>
      <c r="Q52" s="19">
        <v>78</v>
      </c>
      <c r="R52" s="19">
        <v>68.5</v>
      </c>
      <c r="S52" s="19">
        <v>90.6</v>
      </c>
      <c r="T52" s="44">
        <v>78.599999999999994</v>
      </c>
      <c r="U52" s="19">
        <v>82.8</v>
      </c>
      <c r="V52" s="19">
        <v>101.3</v>
      </c>
      <c r="W52" s="19">
        <v>87.7</v>
      </c>
      <c r="X52" s="19">
        <v>97.5</v>
      </c>
      <c r="Y52" s="44">
        <v>88</v>
      </c>
      <c r="Z52" s="19">
        <v>87.6</v>
      </c>
      <c r="AA52" s="19">
        <v>67.7</v>
      </c>
      <c r="AB52" s="19">
        <v>85.9</v>
      </c>
      <c r="AC52" s="19">
        <v>89.6</v>
      </c>
      <c r="AD52" s="19">
        <v>100.9</v>
      </c>
    </row>
    <row r="53" spans="1:30" ht="81.599999999999994" x14ac:dyDescent="0.3">
      <c r="A53" s="80"/>
      <c r="B53" s="81"/>
      <c r="C53" s="82"/>
      <c r="D53" s="16" t="s">
        <v>1</v>
      </c>
      <c r="E53" s="45" t="s">
        <v>2</v>
      </c>
      <c r="F53" s="21" t="s">
        <v>52</v>
      </c>
      <c r="G53" s="20" t="s">
        <v>3</v>
      </c>
      <c r="H53" s="20" t="s">
        <v>4</v>
      </c>
      <c r="I53" s="20" t="s">
        <v>5</v>
      </c>
      <c r="J53" s="20" t="s">
        <v>6</v>
      </c>
      <c r="K53" s="21" t="s">
        <v>7</v>
      </c>
      <c r="L53" s="21" t="s">
        <v>8</v>
      </c>
      <c r="M53" s="21" t="s">
        <v>9</v>
      </c>
      <c r="N53" s="21" t="s">
        <v>10</v>
      </c>
      <c r="O53" s="21" t="s">
        <v>11</v>
      </c>
      <c r="P53" s="20" t="s">
        <v>12</v>
      </c>
      <c r="Q53" s="20" t="s">
        <v>13</v>
      </c>
      <c r="R53" s="20" t="s">
        <v>14</v>
      </c>
      <c r="S53" s="20" t="s">
        <v>15</v>
      </c>
      <c r="T53" s="45" t="s">
        <v>16</v>
      </c>
      <c r="U53" s="21" t="s">
        <v>68</v>
      </c>
      <c r="V53" s="20" t="s">
        <v>17</v>
      </c>
      <c r="W53" s="20" t="s">
        <v>18</v>
      </c>
      <c r="X53" s="20" t="s">
        <v>19</v>
      </c>
      <c r="Y53" s="45" t="s">
        <v>20</v>
      </c>
      <c r="Z53" s="21" t="s">
        <v>74</v>
      </c>
      <c r="AA53" s="20" t="s">
        <v>21</v>
      </c>
      <c r="AB53" s="21" t="s">
        <v>77</v>
      </c>
      <c r="AC53" s="21" t="s">
        <v>23</v>
      </c>
      <c r="AD53" s="20" t="s">
        <v>24</v>
      </c>
    </row>
    <row r="57" spans="1:30" ht="163.80000000000001" x14ac:dyDescent="0.3">
      <c r="A57" s="83" t="s">
        <v>86</v>
      </c>
      <c r="B57" s="84"/>
      <c r="C57" s="24" t="s">
        <v>49</v>
      </c>
      <c r="D57" s="25" t="s">
        <v>50</v>
      </c>
      <c r="E57" s="46" t="s">
        <v>51</v>
      </c>
      <c r="F57" s="25" t="s">
        <v>53</v>
      </c>
      <c r="G57" s="25" t="s">
        <v>54</v>
      </c>
      <c r="H57" s="25" t="s">
        <v>55</v>
      </c>
      <c r="I57" s="25" t="s">
        <v>56</v>
      </c>
      <c r="J57" s="26" t="s">
        <v>57</v>
      </c>
      <c r="K57" s="27" t="s">
        <v>58</v>
      </c>
      <c r="L57" s="27" t="s">
        <v>59</v>
      </c>
      <c r="M57" s="27" t="s">
        <v>60</v>
      </c>
      <c r="N57" s="27" t="s">
        <v>61</v>
      </c>
      <c r="O57" s="25" t="s">
        <v>62</v>
      </c>
      <c r="P57" s="25" t="s">
        <v>63</v>
      </c>
      <c r="Q57" s="25" t="s">
        <v>64</v>
      </c>
      <c r="R57" s="25" t="s">
        <v>65</v>
      </c>
      <c r="S57" s="25" t="s">
        <v>66</v>
      </c>
      <c r="T57" s="52" t="s">
        <v>67</v>
      </c>
      <c r="U57" s="25" t="s">
        <v>69</v>
      </c>
      <c r="V57" s="25" t="s">
        <v>70</v>
      </c>
      <c r="W57" s="25" t="s">
        <v>71</v>
      </c>
      <c r="X57" s="25" t="s">
        <v>72</v>
      </c>
      <c r="Y57" s="46" t="s">
        <v>73</v>
      </c>
      <c r="Z57" s="25" t="s">
        <v>75</v>
      </c>
      <c r="AA57" s="27" t="s">
        <v>76</v>
      </c>
      <c r="AB57" s="27" t="s">
        <v>78</v>
      </c>
      <c r="AC57" s="25" t="s">
        <v>79</v>
      </c>
    </row>
    <row r="58" spans="1:30" x14ac:dyDescent="0.3">
      <c r="A58" s="74" t="s">
        <v>87</v>
      </c>
      <c r="B58" s="28" t="s">
        <v>47</v>
      </c>
      <c r="C58" s="29">
        <v>12336.78</v>
      </c>
      <c r="D58" s="30">
        <v>9564.56</v>
      </c>
      <c r="E58" s="47">
        <v>9528.52</v>
      </c>
      <c r="F58" s="30">
        <v>13373.67</v>
      </c>
      <c r="G58" s="30">
        <v>9238.3700000000008</v>
      </c>
      <c r="H58" s="30">
        <v>11897.86</v>
      </c>
      <c r="I58" s="30">
        <v>12209.7</v>
      </c>
      <c r="J58" s="30">
        <v>11765.71</v>
      </c>
      <c r="K58" s="30">
        <v>12603.53</v>
      </c>
      <c r="L58" s="30">
        <v>22393.93</v>
      </c>
      <c r="M58" s="30">
        <v>13157.74</v>
      </c>
      <c r="N58" s="30">
        <v>7523.96</v>
      </c>
      <c r="O58" s="30">
        <v>6647.06</v>
      </c>
      <c r="P58" s="30">
        <v>21941.06</v>
      </c>
      <c r="Q58" s="30">
        <v>24095.360000000001</v>
      </c>
      <c r="R58" s="30">
        <v>9683.1299999999992</v>
      </c>
      <c r="S58" s="30">
        <v>16602.43</v>
      </c>
      <c r="T58" s="47">
        <v>13332.93</v>
      </c>
      <c r="U58" s="30">
        <v>10303.790000000001</v>
      </c>
      <c r="V58" s="30">
        <v>15230.55</v>
      </c>
      <c r="W58" s="30">
        <v>10310.43</v>
      </c>
      <c r="X58" s="30">
        <v>10572.79</v>
      </c>
      <c r="Y58" s="47">
        <v>10786.45</v>
      </c>
      <c r="Z58" s="30">
        <v>10436.530000000001</v>
      </c>
      <c r="AA58" s="30">
        <v>9706.14</v>
      </c>
      <c r="AB58" s="30">
        <v>8971.19</v>
      </c>
      <c r="AC58" s="30">
        <v>11656.71</v>
      </c>
    </row>
    <row r="59" spans="1:30" ht="100.8" x14ac:dyDescent="0.3">
      <c r="A59" s="75"/>
      <c r="B59" s="31" t="s">
        <v>99</v>
      </c>
      <c r="C59" s="32">
        <v>87</v>
      </c>
      <c r="D59" s="33">
        <v>88.2</v>
      </c>
      <c r="E59" s="48">
        <v>89.8</v>
      </c>
      <c r="F59" s="33">
        <v>89.8</v>
      </c>
      <c r="G59" s="33">
        <v>79.900000000000006</v>
      </c>
      <c r="H59" s="33">
        <v>92.5</v>
      </c>
      <c r="I59" s="33">
        <v>87.7</v>
      </c>
      <c r="J59" s="33">
        <v>85.7</v>
      </c>
      <c r="K59" s="33">
        <v>88.4</v>
      </c>
      <c r="L59" s="33">
        <v>86.8</v>
      </c>
      <c r="M59" s="33">
        <v>88.6</v>
      </c>
      <c r="N59" s="33">
        <v>96.9</v>
      </c>
      <c r="O59" s="33">
        <v>97.2</v>
      </c>
      <c r="P59" s="33">
        <v>97.1</v>
      </c>
      <c r="Q59" s="33">
        <v>105.5</v>
      </c>
      <c r="R59" s="33">
        <v>92.8</v>
      </c>
      <c r="S59" s="33">
        <v>74.2</v>
      </c>
      <c r="T59" s="48">
        <v>81.599999999999994</v>
      </c>
      <c r="U59" s="33">
        <v>88.3</v>
      </c>
      <c r="V59" s="33">
        <v>67.3</v>
      </c>
      <c r="W59" s="33">
        <v>88.6</v>
      </c>
      <c r="X59" s="33">
        <v>82.4</v>
      </c>
      <c r="Y59" s="48">
        <v>81.7</v>
      </c>
      <c r="Z59" s="33">
        <v>82.3</v>
      </c>
      <c r="AA59" s="33">
        <v>90.6</v>
      </c>
      <c r="AB59" s="33">
        <v>86.9</v>
      </c>
      <c r="AC59" s="33">
        <v>81.7</v>
      </c>
    </row>
    <row r="60" spans="1:30" x14ac:dyDescent="0.3">
      <c r="A60" s="67" t="s">
        <v>88</v>
      </c>
      <c r="B60" s="28" t="s">
        <v>47</v>
      </c>
      <c r="C60" s="34">
        <v>12548.85</v>
      </c>
      <c r="D60" s="35">
        <v>9596.17</v>
      </c>
      <c r="E60" s="49">
        <v>9337.9500000000007</v>
      </c>
      <c r="F60" s="35">
        <v>13196.58</v>
      </c>
      <c r="G60" s="35">
        <v>9844.68</v>
      </c>
      <c r="H60" s="35">
        <v>12245.56</v>
      </c>
      <c r="I60" s="35">
        <v>11728.02</v>
      </c>
      <c r="J60" s="35">
        <v>10939.9</v>
      </c>
      <c r="K60" s="35">
        <v>12251.75</v>
      </c>
      <c r="L60" s="35">
        <v>22613.22</v>
      </c>
      <c r="M60" s="35">
        <v>12846.29</v>
      </c>
      <c r="N60" s="35">
        <v>7435.67</v>
      </c>
      <c r="O60" s="35">
        <v>7892.34</v>
      </c>
      <c r="P60" s="35">
        <v>23001.27</v>
      </c>
      <c r="Q60" s="35">
        <v>22319.01</v>
      </c>
      <c r="R60" s="35">
        <v>10379.76</v>
      </c>
      <c r="S60" s="35">
        <v>17550.21</v>
      </c>
      <c r="T60" s="49">
        <v>13474.28</v>
      </c>
      <c r="U60" s="35">
        <v>10414.19</v>
      </c>
      <c r="V60" s="35">
        <v>15929.49</v>
      </c>
      <c r="W60" s="35">
        <v>11025.77</v>
      </c>
      <c r="X60" s="35">
        <v>10959.74</v>
      </c>
      <c r="Y60" s="49">
        <v>11196.91</v>
      </c>
      <c r="Z60" s="35">
        <v>11887.52</v>
      </c>
      <c r="AA60" s="35">
        <v>10927.01</v>
      </c>
      <c r="AB60" s="35">
        <v>9302.2900000000009</v>
      </c>
      <c r="AC60" s="35">
        <v>11648.07</v>
      </c>
    </row>
    <row r="61" spans="1:30" ht="100.8" x14ac:dyDescent="0.3">
      <c r="A61" s="68"/>
      <c r="B61" s="31" t="s">
        <v>99</v>
      </c>
      <c r="C61" s="34">
        <v>101.7</v>
      </c>
      <c r="D61" s="35">
        <v>100.3</v>
      </c>
      <c r="E61" s="49">
        <v>98</v>
      </c>
      <c r="F61" s="35">
        <v>98.7</v>
      </c>
      <c r="G61" s="35">
        <v>106.6</v>
      </c>
      <c r="H61" s="35">
        <v>102.9</v>
      </c>
      <c r="I61" s="35">
        <v>96.1</v>
      </c>
      <c r="J61" s="35">
        <v>93</v>
      </c>
      <c r="K61" s="35">
        <v>97.2</v>
      </c>
      <c r="L61" s="35">
        <v>101</v>
      </c>
      <c r="M61" s="35">
        <v>97.6</v>
      </c>
      <c r="N61" s="35">
        <v>98.8</v>
      </c>
      <c r="O61" s="35">
        <v>118.7</v>
      </c>
      <c r="P61" s="35">
        <v>104.8</v>
      </c>
      <c r="Q61" s="35">
        <v>92.6</v>
      </c>
      <c r="R61" s="35">
        <v>107.2</v>
      </c>
      <c r="S61" s="35">
        <v>105.7</v>
      </c>
      <c r="T61" s="49">
        <v>101.1</v>
      </c>
      <c r="U61" s="35">
        <v>101.1</v>
      </c>
      <c r="V61" s="35">
        <v>104.6</v>
      </c>
      <c r="W61" s="35">
        <v>106.9</v>
      </c>
      <c r="X61" s="35">
        <v>103.7</v>
      </c>
      <c r="Y61" s="49">
        <v>103.8</v>
      </c>
      <c r="Z61" s="35">
        <v>113.9</v>
      </c>
      <c r="AA61" s="35">
        <v>112.6</v>
      </c>
      <c r="AB61" s="35">
        <v>103.7</v>
      </c>
      <c r="AC61" s="35">
        <v>99.9</v>
      </c>
    </row>
    <row r="62" spans="1:30" x14ac:dyDescent="0.3">
      <c r="A62" s="67" t="s">
        <v>89</v>
      </c>
      <c r="B62" s="28" t="s">
        <v>47</v>
      </c>
      <c r="C62" s="34">
        <v>13612.21</v>
      </c>
      <c r="D62" s="35">
        <v>10684.76</v>
      </c>
      <c r="E62" s="49">
        <v>10057.549999999999</v>
      </c>
      <c r="F62" s="35">
        <v>14994.5</v>
      </c>
      <c r="G62" s="35">
        <v>10297.280000000001</v>
      </c>
      <c r="H62" s="35">
        <v>13854.04</v>
      </c>
      <c r="I62" s="35">
        <v>12539.86</v>
      </c>
      <c r="J62" s="35">
        <v>11545.69</v>
      </c>
      <c r="K62" s="35">
        <v>13947.39</v>
      </c>
      <c r="L62" s="35">
        <v>25219.31</v>
      </c>
      <c r="M62" s="35">
        <v>13705.58</v>
      </c>
      <c r="N62" s="35">
        <v>8349.33</v>
      </c>
      <c r="O62" s="35">
        <v>7748.78</v>
      </c>
      <c r="P62" s="35">
        <v>25504.46</v>
      </c>
      <c r="Q62" s="35">
        <v>24279.16</v>
      </c>
      <c r="R62" s="35">
        <v>10354.879999999999</v>
      </c>
      <c r="S62" s="35">
        <v>18767.509999999998</v>
      </c>
      <c r="T62" s="49">
        <v>14480.51</v>
      </c>
      <c r="U62" s="35">
        <v>10978.86</v>
      </c>
      <c r="V62" s="35">
        <v>16504.919999999998</v>
      </c>
      <c r="W62" s="35">
        <v>10959.14</v>
      </c>
      <c r="X62" s="35">
        <v>12246.33</v>
      </c>
      <c r="Y62" s="49">
        <v>12567.14</v>
      </c>
      <c r="Z62" s="35">
        <v>11729.25</v>
      </c>
      <c r="AA62" s="35">
        <v>10643.98</v>
      </c>
      <c r="AB62" s="35">
        <v>9814.5499999999993</v>
      </c>
      <c r="AC62" s="35">
        <v>13347.91</v>
      </c>
    </row>
    <row r="63" spans="1:30" ht="100.8" x14ac:dyDescent="0.3">
      <c r="A63" s="68"/>
      <c r="B63" s="31" t="s">
        <v>99</v>
      </c>
      <c r="C63" s="34">
        <v>108.5</v>
      </c>
      <c r="D63" s="35">
        <v>111.3</v>
      </c>
      <c r="E63" s="49">
        <v>107.7</v>
      </c>
      <c r="F63" s="35">
        <v>113.6</v>
      </c>
      <c r="G63" s="35">
        <v>104.6</v>
      </c>
      <c r="H63" s="35">
        <v>113.1</v>
      </c>
      <c r="I63" s="35">
        <v>106.9</v>
      </c>
      <c r="J63" s="35">
        <v>105.5</v>
      </c>
      <c r="K63" s="35">
        <v>113.8</v>
      </c>
      <c r="L63" s="35">
        <v>111.5</v>
      </c>
      <c r="M63" s="35">
        <v>106.7</v>
      </c>
      <c r="N63" s="35">
        <v>112.3</v>
      </c>
      <c r="O63" s="35">
        <v>98.2</v>
      </c>
      <c r="P63" s="35">
        <v>110.9</v>
      </c>
      <c r="Q63" s="35">
        <v>108.8</v>
      </c>
      <c r="R63" s="35">
        <v>99.8</v>
      </c>
      <c r="S63" s="35">
        <v>106.9</v>
      </c>
      <c r="T63" s="49">
        <v>107.5</v>
      </c>
      <c r="U63" s="35">
        <v>105.4</v>
      </c>
      <c r="V63" s="35">
        <v>103.6</v>
      </c>
      <c r="W63" s="35">
        <v>99.4</v>
      </c>
      <c r="X63" s="35">
        <v>111.7</v>
      </c>
      <c r="Y63" s="49">
        <v>112.2</v>
      </c>
      <c r="Z63" s="35">
        <v>98.7</v>
      </c>
      <c r="AA63" s="35">
        <v>97.4</v>
      </c>
      <c r="AB63" s="35">
        <v>105.5</v>
      </c>
      <c r="AC63" s="35">
        <v>114.6</v>
      </c>
    </row>
    <row r="64" spans="1:30" x14ac:dyDescent="0.3">
      <c r="A64" s="67" t="s">
        <v>90</v>
      </c>
      <c r="B64" s="28" t="s">
        <v>47</v>
      </c>
      <c r="C64" s="34">
        <v>13543.08</v>
      </c>
      <c r="D64" s="35">
        <v>12451.22</v>
      </c>
      <c r="E64" s="49">
        <v>12338.81</v>
      </c>
      <c r="F64" s="35">
        <v>14471.17</v>
      </c>
      <c r="G64" s="35">
        <v>10954.89</v>
      </c>
      <c r="H64" s="35">
        <v>12692.6</v>
      </c>
      <c r="I64" s="35">
        <v>13204.61</v>
      </c>
      <c r="J64" s="35">
        <v>13100.55</v>
      </c>
      <c r="K64" s="35">
        <v>15080.88</v>
      </c>
      <c r="L64" s="35">
        <v>25651.53</v>
      </c>
      <c r="M64" s="35">
        <v>13851.45</v>
      </c>
      <c r="N64" s="35">
        <v>7745.07</v>
      </c>
      <c r="O64" s="35">
        <v>6979.35</v>
      </c>
      <c r="P64" s="35">
        <v>27101.05</v>
      </c>
      <c r="Q64" s="35">
        <v>23556.85</v>
      </c>
      <c r="R64" s="35">
        <v>10861.29</v>
      </c>
      <c r="S64" s="35">
        <v>21882.71</v>
      </c>
      <c r="T64" s="49">
        <v>14321.19</v>
      </c>
      <c r="U64" s="35">
        <v>10677.56</v>
      </c>
      <c r="V64" s="35">
        <v>17116.400000000001</v>
      </c>
      <c r="W64" s="35">
        <v>10858.92</v>
      </c>
      <c r="X64" s="35">
        <v>11734.77</v>
      </c>
      <c r="Y64" s="49">
        <v>11991.21</v>
      </c>
      <c r="Z64" s="35">
        <v>11053.51</v>
      </c>
      <c r="AA64" s="35">
        <v>9794.3700000000008</v>
      </c>
      <c r="AB64" s="35">
        <v>9339.7999999999993</v>
      </c>
      <c r="AC64" s="35">
        <v>12420.12</v>
      </c>
    </row>
    <row r="65" spans="1:29" ht="100.8" x14ac:dyDescent="0.3">
      <c r="A65" s="68"/>
      <c r="B65" s="31" t="s">
        <v>99</v>
      </c>
      <c r="C65" s="34">
        <v>99.5</v>
      </c>
      <c r="D65" s="35">
        <v>116.5</v>
      </c>
      <c r="E65" s="49">
        <v>122.7</v>
      </c>
      <c r="F65" s="35">
        <v>96.5</v>
      </c>
      <c r="G65" s="35">
        <v>106.4</v>
      </c>
      <c r="H65" s="35">
        <v>91.6</v>
      </c>
      <c r="I65" s="35">
        <v>105.3</v>
      </c>
      <c r="J65" s="35">
        <v>113.5</v>
      </c>
      <c r="K65" s="35">
        <v>108.1</v>
      </c>
      <c r="L65" s="35">
        <v>101.7</v>
      </c>
      <c r="M65" s="35">
        <v>101.1</v>
      </c>
      <c r="N65" s="35">
        <v>92.8</v>
      </c>
      <c r="O65" s="35">
        <v>90.1</v>
      </c>
      <c r="P65" s="35">
        <v>106.3</v>
      </c>
      <c r="Q65" s="35">
        <v>97</v>
      </c>
      <c r="R65" s="35">
        <v>104.9</v>
      </c>
      <c r="S65" s="35">
        <v>116.6</v>
      </c>
      <c r="T65" s="49">
        <v>98.9</v>
      </c>
      <c r="U65" s="35">
        <v>97.3</v>
      </c>
      <c r="V65" s="35">
        <v>103.7</v>
      </c>
      <c r="W65" s="35">
        <v>99.1</v>
      </c>
      <c r="X65" s="35">
        <v>95.8</v>
      </c>
      <c r="Y65" s="49">
        <v>95.4</v>
      </c>
      <c r="Z65" s="35">
        <v>94.2</v>
      </c>
      <c r="AA65" s="35">
        <v>92</v>
      </c>
      <c r="AB65" s="35">
        <v>95.2</v>
      </c>
      <c r="AC65" s="35">
        <v>93</v>
      </c>
    </row>
    <row r="66" spans="1:29" x14ac:dyDescent="0.3">
      <c r="A66" s="67" t="s">
        <v>91</v>
      </c>
      <c r="B66" s="28" t="s">
        <v>47</v>
      </c>
      <c r="C66" s="29">
        <v>13498.94</v>
      </c>
      <c r="D66" s="30">
        <v>11800.87</v>
      </c>
      <c r="E66" s="47">
        <v>11624.53</v>
      </c>
      <c r="F66" s="30">
        <v>14295.81</v>
      </c>
      <c r="G66" s="30">
        <v>10919.75</v>
      </c>
      <c r="H66" s="30">
        <v>13166.87</v>
      </c>
      <c r="I66" s="30">
        <v>13165</v>
      </c>
      <c r="J66" s="30">
        <v>12526.68</v>
      </c>
      <c r="K66" s="30">
        <v>14897.47</v>
      </c>
      <c r="L66" s="30">
        <v>28041.81</v>
      </c>
      <c r="M66" s="30">
        <v>14119.26</v>
      </c>
      <c r="N66" s="30">
        <v>7848.51</v>
      </c>
      <c r="O66" s="30">
        <v>8875.2999999999993</v>
      </c>
      <c r="P66" s="30">
        <v>25264.51</v>
      </c>
      <c r="Q66" s="30">
        <v>21965.16</v>
      </c>
      <c r="R66" s="30">
        <v>11138.85</v>
      </c>
      <c r="S66" s="30">
        <v>17744.55</v>
      </c>
      <c r="T66" s="47">
        <v>14200.63</v>
      </c>
      <c r="U66" s="30">
        <v>10725.57</v>
      </c>
      <c r="V66" s="30">
        <v>17931.12</v>
      </c>
      <c r="W66" s="30">
        <v>11579.38</v>
      </c>
      <c r="X66" s="30">
        <v>11526.25</v>
      </c>
      <c r="Y66" s="47">
        <v>11734.33</v>
      </c>
      <c r="Z66" s="30">
        <v>12059.05</v>
      </c>
      <c r="AA66" s="30">
        <v>10832.62</v>
      </c>
      <c r="AB66" s="30">
        <v>10301.07</v>
      </c>
      <c r="AC66" s="30">
        <v>12349.49</v>
      </c>
    </row>
    <row r="67" spans="1:29" ht="100.8" x14ac:dyDescent="0.3">
      <c r="A67" s="68"/>
      <c r="B67" s="31" t="s">
        <v>99</v>
      </c>
      <c r="C67" s="32">
        <v>99.7</v>
      </c>
      <c r="D67" s="33">
        <v>94.8</v>
      </c>
      <c r="E67" s="48">
        <v>94.2</v>
      </c>
      <c r="F67" s="33">
        <v>98.8</v>
      </c>
      <c r="G67" s="33">
        <v>99.7</v>
      </c>
      <c r="H67" s="33">
        <v>103.7</v>
      </c>
      <c r="I67" s="33">
        <v>99.7</v>
      </c>
      <c r="J67" s="33">
        <v>95.6</v>
      </c>
      <c r="K67" s="33">
        <v>98.8</v>
      </c>
      <c r="L67" s="33">
        <v>109.3</v>
      </c>
      <c r="M67" s="33">
        <v>101.9</v>
      </c>
      <c r="N67" s="33">
        <v>101.3</v>
      </c>
      <c r="O67" s="33">
        <v>127.2</v>
      </c>
      <c r="P67" s="33">
        <v>93.2</v>
      </c>
      <c r="Q67" s="33">
        <v>93.2</v>
      </c>
      <c r="R67" s="33">
        <v>102.6</v>
      </c>
      <c r="S67" s="33">
        <v>81.099999999999994</v>
      </c>
      <c r="T67" s="48">
        <v>99.2</v>
      </c>
      <c r="U67" s="33">
        <v>100.4</v>
      </c>
      <c r="V67" s="33">
        <v>104.8</v>
      </c>
      <c r="W67" s="33">
        <v>106.6</v>
      </c>
      <c r="X67" s="33">
        <v>98.2</v>
      </c>
      <c r="Y67" s="48">
        <v>97.9</v>
      </c>
      <c r="Z67" s="33">
        <v>109.1</v>
      </c>
      <c r="AA67" s="33">
        <v>110.6</v>
      </c>
      <c r="AB67" s="33">
        <v>110.3</v>
      </c>
      <c r="AC67" s="33">
        <v>99.4</v>
      </c>
    </row>
    <row r="68" spans="1:29" x14ac:dyDescent="0.3">
      <c r="A68" s="67" t="s">
        <v>92</v>
      </c>
      <c r="B68" s="28" t="s">
        <v>47</v>
      </c>
      <c r="C68" s="29">
        <v>14312.85</v>
      </c>
      <c r="D68" s="30">
        <v>11875.19</v>
      </c>
      <c r="E68" s="47">
        <v>11250.55</v>
      </c>
      <c r="F68" s="30">
        <v>14709.88</v>
      </c>
      <c r="G68" s="30">
        <v>11301.81</v>
      </c>
      <c r="H68" s="30">
        <v>13340.77</v>
      </c>
      <c r="I68" s="30">
        <v>12983.81</v>
      </c>
      <c r="J68" s="30">
        <v>12161.79</v>
      </c>
      <c r="K68" s="30">
        <v>14766.07</v>
      </c>
      <c r="L68" s="30">
        <v>29288.32</v>
      </c>
      <c r="M68" s="30">
        <v>13810.01</v>
      </c>
      <c r="N68" s="30">
        <v>8669.14</v>
      </c>
      <c r="O68" s="30">
        <v>8922.2800000000007</v>
      </c>
      <c r="P68" s="30">
        <v>26197.07</v>
      </c>
      <c r="Q68" s="30">
        <v>22690.93</v>
      </c>
      <c r="R68" s="30">
        <v>11208.43</v>
      </c>
      <c r="S68" s="30">
        <v>19052.330000000002</v>
      </c>
      <c r="T68" s="47">
        <v>15240.15</v>
      </c>
      <c r="U68" s="30">
        <v>11034.07</v>
      </c>
      <c r="V68" s="30">
        <v>19867.78</v>
      </c>
      <c r="W68" s="30">
        <v>14158.09</v>
      </c>
      <c r="X68" s="30">
        <v>12089.52</v>
      </c>
      <c r="Y68" s="47">
        <v>12316.75</v>
      </c>
      <c r="Z68" s="30">
        <v>13259.54</v>
      </c>
      <c r="AA68" s="30">
        <v>12262.69</v>
      </c>
      <c r="AB68" s="30">
        <v>11094.14</v>
      </c>
      <c r="AC68" s="30">
        <v>14049.38</v>
      </c>
    </row>
    <row r="69" spans="1:29" ht="100.8" x14ac:dyDescent="0.3">
      <c r="A69" s="68"/>
      <c r="B69" s="31" t="s">
        <v>99</v>
      </c>
      <c r="C69" s="32">
        <v>106</v>
      </c>
      <c r="D69" s="33">
        <v>100.6</v>
      </c>
      <c r="E69" s="48">
        <v>96.8</v>
      </c>
      <c r="F69" s="33">
        <v>102.9</v>
      </c>
      <c r="G69" s="33">
        <v>103.5</v>
      </c>
      <c r="H69" s="33">
        <v>101.3</v>
      </c>
      <c r="I69" s="33">
        <v>98.6</v>
      </c>
      <c r="J69" s="33">
        <v>97.1</v>
      </c>
      <c r="K69" s="33">
        <v>99.1</v>
      </c>
      <c r="L69" s="33">
        <v>104.4</v>
      </c>
      <c r="M69" s="33">
        <v>97.8</v>
      </c>
      <c r="N69" s="33">
        <v>110.5</v>
      </c>
      <c r="O69" s="33">
        <v>100.5</v>
      </c>
      <c r="P69" s="33">
        <v>103.7</v>
      </c>
      <c r="Q69" s="33">
        <v>103.3</v>
      </c>
      <c r="R69" s="33">
        <v>100.6</v>
      </c>
      <c r="S69" s="33">
        <v>107.4</v>
      </c>
      <c r="T69" s="48">
        <v>107.3</v>
      </c>
      <c r="U69" s="33">
        <v>102.9</v>
      </c>
      <c r="V69" s="33">
        <v>110.8</v>
      </c>
      <c r="W69" s="33">
        <v>122.3</v>
      </c>
      <c r="X69" s="33">
        <v>104.9</v>
      </c>
      <c r="Y69" s="48">
        <v>105</v>
      </c>
      <c r="Z69" s="33">
        <v>110</v>
      </c>
      <c r="AA69" s="33">
        <v>113.2</v>
      </c>
      <c r="AB69" s="33">
        <v>107.7</v>
      </c>
      <c r="AC69" s="33">
        <v>113.8</v>
      </c>
    </row>
    <row r="70" spans="1:29" x14ac:dyDescent="0.3">
      <c r="A70" s="67" t="s">
        <v>93</v>
      </c>
      <c r="B70" s="28" t="s">
        <v>47</v>
      </c>
      <c r="C70" s="29">
        <v>14345.13</v>
      </c>
      <c r="D70" s="30">
        <v>12732.55</v>
      </c>
      <c r="E70" s="47">
        <v>12332.18</v>
      </c>
      <c r="F70" s="30">
        <v>15246.91</v>
      </c>
      <c r="G70" s="30">
        <v>11838.54</v>
      </c>
      <c r="H70" s="30">
        <v>13505.65</v>
      </c>
      <c r="I70" s="30">
        <v>15256.65</v>
      </c>
      <c r="J70" s="30">
        <v>14681.47</v>
      </c>
      <c r="K70" s="30">
        <v>15355.78</v>
      </c>
      <c r="L70" s="30">
        <v>29975.87</v>
      </c>
      <c r="M70" s="30">
        <v>16646.54</v>
      </c>
      <c r="N70" s="30">
        <v>7869.19</v>
      </c>
      <c r="O70" s="30">
        <v>8870.9599999999991</v>
      </c>
      <c r="P70" s="30">
        <v>24945.61</v>
      </c>
      <c r="Q70" s="30">
        <v>24489.32</v>
      </c>
      <c r="R70" s="30">
        <v>11489.56</v>
      </c>
      <c r="S70" s="30">
        <v>19203.419999999998</v>
      </c>
      <c r="T70" s="47">
        <v>15427.27</v>
      </c>
      <c r="U70" s="30">
        <v>11282.8</v>
      </c>
      <c r="V70" s="30">
        <v>20782.3</v>
      </c>
      <c r="W70" s="30">
        <v>11894.82</v>
      </c>
      <c r="X70" s="30">
        <v>11175.39</v>
      </c>
      <c r="Y70" s="47">
        <v>11325.94</v>
      </c>
      <c r="Z70" s="30">
        <v>13145.42</v>
      </c>
      <c r="AA70" s="30">
        <v>12116.94</v>
      </c>
      <c r="AB70" s="30">
        <v>11112.96</v>
      </c>
      <c r="AC70" s="30">
        <v>15545.85</v>
      </c>
    </row>
    <row r="71" spans="1:29" ht="100.8" x14ac:dyDescent="0.3">
      <c r="A71" s="68"/>
      <c r="B71" s="31" t="s">
        <v>99</v>
      </c>
      <c r="C71" s="32">
        <v>100.2</v>
      </c>
      <c r="D71" s="33">
        <v>107.2</v>
      </c>
      <c r="E71" s="48">
        <v>109.6</v>
      </c>
      <c r="F71" s="33">
        <v>103.7</v>
      </c>
      <c r="G71" s="33">
        <v>104.7</v>
      </c>
      <c r="H71" s="33">
        <v>101.2</v>
      </c>
      <c r="I71" s="33">
        <v>117.5</v>
      </c>
      <c r="J71" s="33">
        <v>120.7</v>
      </c>
      <c r="K71" s="33">
        <v>104</v>
      </c>
      <c r="L71" s="33">
        <v>102.3</v>
      </c>
      <c r="M71" s="33">
        <v>120.5</v>
      </c>
      <c r="N71" s="33">
        <v>90.8</v>
      </c>
      <c r="O71" s="33">
        <v>99.4</v>
      </c>
      <c r="P71" s="33">
        <v>95.2</v>
      </c>
      <c r="Q71" s="33">
        <v>107.9</v>
      </c>
      <c r="R71" s="33">
        <v>102.5</v>
      </c>
      <c r="S71" s="33">
        <v>100.8</v>
      </c>
      <c r="T71" s="48">
        <v>101.2</v>
      </c>
      <c r="U71" s="33">
        <v>102.3</v>
      </c>
      <c r="V71" s="33">
        <v>104.6</v>
      </c>
      <c r="W71" s="33">
        <v>84</v>
      </c>
      <c r="X71" s="33">
        <v>92.4</v>
      </c>
      <c r="Y71" s="48">
        <v>92</v>
      </c>
      <c r="Z71" s="33">
        <v>99.1</v>
      </c>
      <c r="AA71" s="33">
        <v>98.8</v>
      </c>
      <c r="AB71" s="33">
        <v>100.2</v>
      </c>
      <c r="AC71" s="33">
        <v>110.7</v>
      </c>
    </row>
    <row r="72" spans="1:29" x14ac:dyDescent="0.3">
      <c r="A72" s="67" t="s">
        <v>94</v>
      </c>
      <c r="B72" s="28" t="s">
        <v>47</v>
      </c>
      <c r="C72" s="29">
        <v>13997</v>
      </c>
      <c r="D72" s="30">
        <v>12252.85</v>
      </c>
      <c r="E72" s="47">
        <v>11679.13</v>
      </c>
      <c r="F72" s="30">
        <v>15056.99</v>
      </c>
      <c r="G72" s="30">
        <v>11867.82</v>
      </c>
      <c r="H72" s="30">
        <v>13684.54</v>
      </c>
      <c r="I72" s="30">
        <v>15072.35</v>
      </c>
      <c r="J72" s="30">
        <v>14793.4</v>
      </c>
      <c r="K72" s="30">
        <v>15237.96</v>
      </c>
      <c r="L72" s="30">
        <v>30652.63</v>
      </c>
      <c r="M72" s="30">
        <v>16103.59</v>
      </c>
      <c r="N72" s="30">
        <v>7888.11</v>
      </c>
      <c r="O72" s="30">
        <v>9787.7099999999991</v>
      </c>
      <c r="P72" s="30">
        <v>24812.74</v>
      </c>
      <c r="Q72" s="30">
        <v>23536.7</v>
      </c>
      <c r="R72" s="30">
        <v>11383.94</v>
      </c>
      <c r="S72" s="30">
        <v>19170.22</v>
      </c>
      <c r="T72" s="47">
        <v>15537.84</v>
      </c>
      <c r="U72" s="30">
        <v>11345.11</v>
      </c>
      <c r="V72" s="30">
        <v>21207.07</v>
      </c>
      <c r="W72" s="30">
        <v>10472.549999999999</v>
      </c>
      <c r="X72" s="30">
        <v>10898.24</v>
      </c>
      <c r="Y72" s="47">
        <v>11023.52</v>
      </c>
      <c r="Z72" s="30">
        <v>12489.75</v>
      </c>
      <c r="AA72" s="30">
        <v>11105.93</v>
      </c>
      <c r="AB72" s="30">
        <v>10656.15</v>
      </c>
      <c r="AC72" s="30">
        <v>13051.08</v>
      </c>
    </row>
    <row r="73" spans="1:29" ht="100.8" x14ac:dyDescent="0.3">
      <c r="A73" s="68"/>
      <c r="B73" s="31" t="s">
        <v>99</v>
      </c>
      <c r="C73" s="32">
        <v>97.6</v>
      </c>
      <c r="D73" s="33">
        <v>96.2</v>
      </c>
      <c r="E73" s="48">
        <v>94.7</v>
      </c>
      <c r="F73" s="33">
        <v>98.8</v>
      </c>
      <c r="G73" s="33">
        <v>100.2</v>
      </c>
      <c r="H73" s="33">
        <v>101.3</v>
      </c>
      <c r="I73" s="33">
        <v>98.8</v>
      </c>
      <c r="J73" s="33">
        <v>100.8</v>
      </c>
      <c r="K73" s="33">
        <v>99.2</v>
      </c>
      <c r="L73" s="33">
        <v>102.3</v>
      </c>
      <c r="M73" s="33">
        <v>96.7</v>
      </c>
      <c r="N73" s="33">
        <v>100.2</v>
      </c>
      <c r="O73" s="33">
        <v>110.3</v>
      </c>
      <c r="P73" s="33">
        <v>99.5</v>
      </c>
      <c r="Q73" s="33">
        <v>96.1</v>
      </c>
      <c r="R73" s="33">
        <v>99.1</v>
      </c>
      <c r="S73" s="33">
        <v>99.8</v>
      </c>
      <c r="T73" s="48">
        <v>100.7</v>
      </c>
      <c r="U73" s="33">
        <v>100.6</v>
      </c>
      <c r="V73" s="33">
        <v>102</v>
      </c>
      <c r="W73" s="33">
        <v>88</v>
      </c>
      <c r="X73" s="33">
        <v>97.5</v>
      </c>
      <c r="Y73" s="48">
        <v>97.3</v>
      </c>
      <c r="Z73" s="33">
        <v>95</v>
      </c>
      <c r="AA73" s="33">
        <v>91.7</v>
      </c>
      <c r="AB73" s="33">
        <v>95.9</v>
      </c>
      <c r="AC73" s="33">
        <v>84</v>
      </c>
    </row>
    <row r="74" spans="1:29" x14ac:dyDescent="0.3">
      <c r="A74" s="67" t="s">
        <v>95</v>
      </c>
      <c r="B74" s="28" t="s">
        <v>47</v>
      </c>
      <c r="C74" s="29">
        <v>14239.3</v>
      </c>
      <c r="D74" s="30">
        <v>12979.6</v>
      </c>
      <c r="E74" s="47">
        <v>11822.54</v>
      </c>
      <c r="F74" s="30">
        <v>15406.07</v>
      </c>
      <c r="G74" s="30">
        <v>12401.6</v>
      </c>
      <c r="H74" s="30">
        <v>13828.29</v>
      </c>
      <c r="I74" s="30">
        <v>14496.25</v>
      </c>
      <c r="J74" s="30">
        <v>13627.37</v>
      </c>
      <c r="K74" s="30">
        <v>15399.69</v>
      </c>
      <c r="L74" s="30">
        <v>29833</v>
      </c>
      <c r="M74" s="30">
        <v>15749</v>
      </c>
      <c r="N74" s="30">
        <v>8757.2199999999993</v>
      </c>
      <c r="O74" s="30">
        <v>9039.36</v>
      </c>
      <c r="P74" s="30">
        <v>25427.23</v>
      </c>
      <c r="Q74" s="30">
        <v>22547.38</v>
      </c>
      <c r="R74" s="30">
        <v>11371.43</v>
      </c>
      <c r="S74" s="30">
        <v>19513.89</v>
      </c>
      <c r="T74" s="47">
        <v>15751.94</v>
      </c>
      <c r="U74" s="30">
        <v>11294.93</v>
      </c>
      <c r="V74" s="30">
        <v>18841.98</v>
      </c>
      <c r="W74" s="30">
        <v>12333.61</v>
      </c>
      <c r="X74" s="30">
        <v>10585.54</v>
      </c>
      <c r="Y74" s="47">
        <v>10701.9</v>
      </c>
      <c r="Z74" s="30">
        <v>13226.8</v>
      </c>
      <c r="AA74" s="30">
        <v>11432.19</v>
      </c>
      <c r="AB74" s="30">
        <v>10878.95</v>
      </c>
      <c r="AC74" s="30">
        <v>13089.94</v>
      </c>
    </row>
    <row r="75" spans="1:29" ht="100.8" x14ac:dyDescent="0.3">
      <c r="A75" s="68"/>
      <c r="B75" s="31" t="s">
        <v>99</v>
      </c>
      <c r="C75" s="32">
        <v>101.7</v>
      </c>
      <c r="D75" s="33">
        <v>105.9</v>
      </c>
      <c r="E75" s="48">
        <v>101.2</v>
      </c>
      <c r="F75" s="33">
        <v>102.3</v>
      </c>
      <c r="G75" s="33">
        <v>104.5</v>
      </c>
      <c r="H75" s="33">
        <v>101.1</v>
      </c>
      <c r="I75" s="33">
        <v>96.2</v>
      </c>
      <c r="J75" s="33">
        <v>92.1</v>
      </c>
      <c r="K75" s="33">
        <v>101.1</v>
      </c>
      <c r="L75" s="33">
        <v>97.3</v>
      </c>
      <c r="M75" s="33">
        <v>97.8</v>
      </c>
      <c r="N75" s="33">
        <v>111</v>
      </c>
      <c r="O75" s="33">
        <v>92.4</v>
      </c>
      <c r="P75" s="33">
        <v>102.5</v>
      </c>
      <c r="Q75" s="33">
        <v>95.8</v>
      </c>
      <c r="R75" s="33">
        <v>99.9</v>
      </c>
      <c r="S75" s="33">
        <v>101.8</v>
      </c>
      <c r="T75" s="48">
        <v>101.4</v>
      </c>
      <c r="U75" s="33">
        <v>99.6</v>
      </c>
      <c r="V75" s="33">
        <v>88.8</v>
      </c>
      <c r="W75" s="33">
        <v>117.8</v>
      </c>
      <c r="X75" s="33">
        <v>97.1</v>
      </c>
      <c r="Y75" s="48">
        <v>97.1</v>
      </c>
      <c r="Z75" s="33">
        <v>105.9</v>
      </c>
      <c r="AA75" s="33">
        <v>102.9</v>
      </c>
      <c r="AB75" s="33">
        <v>102.1</v>
      </c>
      <c r="AC75" s="33">
        <v>100.3</v>
      </c>
    </row>
    <row r="76" spans="1:29" x14ac:dyDescent="0.3">
      <c r="A76" s="67" t="s">
        <v>96</v>
      </c>
      <c r="B76" s="28" t="s">
        <v>47</v>
      </c>
      <c r="C76" s="29">
        <v>14044.81</v>
      </c>
      <c r="D76" s="30">
        <v>13304.07</v>
      </c>
      <c r="E76" s="47">
        <v>12826.82</v>
      </c>
      <c r="F76" s="30">
        <v>14993.45</v>
      </c>
      <c r="G76" s="30">
        <v>11806.61</v>
      </c>
      <c r="H76" s="30">
        <v>13744.67</v>
      </c>
      <c r="I76" s="30">
        <v>14568.48</v>
      </c>
      <c r="J76" s="30">
        <v>13790.14</v>
      </c>
      <c r="K76" s="30">
        <v>14175.03</v>
      </c>
      <c r="L76" s="30">
        <v>30135.95</v>
      </c>
      <c r="M76" s="30">
        <v>15835.12</v>
      </c>
      <c r="N76" s="30">
        <v>8313.58</v>
      </c>
      <c r="O76" s="30">
        <v>8851.57</v>
      </c>
      <c r="P76" s="30">
        <v>25195.63</v>
      </c>
      <c r="Q76" s="30">
        <v>23641.88</v>
      </c>
      <c r="R76" s="30">
        <v>11195.24</v>
      </c>
      <c r="S76" s="30">
        <v>19047.05</v>
      </c>
      <c r="T76" s="47">
        <v>14825.48</v>
      </c>
      <c r="U76" s="30">
        <v>11414.94</v>
      </c>
      <c r="V76" s="30">
        <v>18577.8</v>
      </c>
      <c r="W76" s="30">
        <v>11532</v>
      </c>
      <c r="X76" s="30">
        <v>11159.61</v>
      </c>
      <c r="Y76" s="47">
        <v>11292.06</v>
      </c>
      <c r="Z76" s="30">
        <v>12470.65</v>
      </c>
      <c r="AA76" s="30">
        <v>11091.43</v>
      </c>
      <c r="AB76" s="30">
        <v>10134.379999999999</v>
      </c>
      <c r="AC76" s="30">
        <v>13095.59</v>
      </c>
    </row>
    <row r="77" spans="1:29" ht="100.8" x14ac:dyDescent="0.3">
      <c r="A77" s="68"/>
      <c r="B77" s="31" t="s">
        <v>99</v>
      </c>
      <c r="C77" s="32">
        <v>98.6</v>
      </c>
      <c r="D77" s="33">
        <v>102.5</v>
      </c>
      <c r="E77" s="48">
        <v>108.5</v>
      </c>
      <c r="F77" s="33">
        <v>97.3</v>
      </c>
      <c r="G77" s="33">
        <v>95.2</v>
      </c>
      <c r="H77" s="33">
        <v>99.4</v>
      </c>
      <c r="I77" s="33">
        <v>100.5</v>
      </c>
      <c r="J77" s="33">
        <v>101.2</v>
      </c>
      <c r="K77" s="33">
        <v>92</v>
      </c>
      <c r="L77" s="33">
        <v>101</v>
      </c>
      <c r="M77" s="33">
        <v>100.5</v>
      </c>
      <c r="N77" s="33">
        <v>94.9</v>
      </c>
      <c r="O77" s="33">
        <v>97.9</v>
      </c>
      <c r="P77" s="33">
        <v>99.1</v>
      </c>
      <c r="Q77" s="33">
        <v>104.9</v>
      </c>
      <c r="R77" s="33">
        <v>98.5</v>
      </c>
      <c r="S77" s="33">
        <v>97.6</v>
      </c>
      <c r="T77" s="48">
        <v>94.1</v>
      </c>
      <c r="U77" s="33">
        <v>101.1</v>
      </c>
      <c r="V77" s="33">
        <v>98.6</v>
      </c>
      <c r="W77" s="33">
        <v>93.5</v>
      </c>
      <c r="X77" s="33">
        <v>105.4</v>
      </c>
      <c r="Y77" s="48">
        <v>105.5</v>
      </c>
      <c r="Z77" s="33">
        <v>94.3</v>
      </c>
      <c r="AA77" s="33">
        <v>97</v>
      </c>
      <c r="AB77" s="33">
        <v>93.2</v>
      </c>
      <c r="AC77" s="33">
        <v>100</v>
      </c>
    </row>
    <row r="78" spans="1:29" x14ac:dyDescent="0.3">
      <c r="A78" s="67" t="s">
        <v>97</v>
      </c>
      <c r="B78" s="28" t="s">
        <v>47</v>
      </c>
      <c r="C78" s="29">
        <v>14282.18</v>
      </c>
      <c r="D78" s="30">
        <v>13574.16</v>
      </c>
      <c r="E78" s="47">
        <v>12899.19</v>
      </c>
      <c r="F78" s="30">
        <v>15061.85</v>
      </c>
      <c r="G78" s="30">
        <v>11749.5</v>
      </c>
      <c r="H78" s="30">
        <v>13972.02</v>
      </c>
      <c r="I78" s="30">
        <v>14336.6</v>
      </c>
      <c r="J78" s="30">
        <v>13265.96</v>
      </c>
      <c r="K78" s="30">
        <v>14424.41</v>
      </c>
      <c r="L78" s="30">
        <v>30528.79</v>
      </c>
      <c r="M78" s="30">
        <v>15790.36</v>
      </c>
      <c r="N78" s="30">
        <v>8266.2900000000009</v>
      </c>
      <c r="O78" s="30">
        <v>8823.66</v>
      </c>
      <c r="P78" s="30">
        <v>27140.84</v>
      </c>
      <c r="Q78" s="30">
        <v>23418.97</v>
      </c>
      <c r="R78" s="30">
        <v>11281.01</v>
      </c>
      <c r="S78" s="30">
        <v>19114.34</v>
      </c>
      <c r="T78" s="47">
        <v>15787.75</v>
      </c>
      <c r="U78" s="30">
        <v>11444.25</v>
      </c>
      <c r="V78" s="30">
        <v>19917.09</v>
      </c>
      <c r="W78" s="30">
        <v>11709.51</v>
      </c>
      <c r="X78" s="30">
        <v>11683.34</v>
      </c>
      <c r="Y78" s="47">
        <v>11893.24</v>
      </c>
      <c r="Z78" s="30">
        <v>12847.03</v>
      </c>
      <c r="AA78" s="30">
        <v>11370.35</v>
      </c>
      <c r="AB78" s="30">
        <v>10532.43</v>
      </c>
      <c r="AC78" s="30">
        <v>13282.23</v>
      </c>
    </row>
    <row r="79" spans="1:29" ht="100.8" x14ac:dyDescent="0.3">
      <c r="A79" s="68"/>
      <c r="B79" s="31" t="s">
        <v>99</v>
      </c>
      <c r="C79" s="32">
        <v>101.7</v>
      </c>
      <c r="D79" s="33">
        <v>102</v>
      </c>
      <c r="E79" s="48">
        <v>100.6</v>
      </c>
      <c r="F79" s="33">
        <v>100.5</v>
      </c>
      <c r="G79" s="33">
        <v>99.5</v>
      </c>
      <c r="H79" s="33">
        <v>101.7</v>
      </c>
      <c r="I79" s="33">
        <v>98.4</v>
      </c>
      <c r="J79" s="33">
        <v>96.2</v>
      </c>
      <c r="K79" s="33">
        <v>101.8</v>
      </c>
      <c r="L79" s="33">
        <v>101.3</v>
      </c>
      <c r="M79" s="33">
        <v>99.7</v>
      </c>
      <c r="N79" s="33">
        <v>99.4</v>
      </c>
      <c r="O79" s="33">
        <v>99.7</v>
      </c>
      <c r="P79" s="33">
        <v>107.7</v>
      </c>
      <c r="Q79" s="33">
        <v>99.1</v>
      </c>
      <c r="R79" s="33">
        <v>100.8</v>
      </c>
      <c r="S79" s="33">
        <v>100.4</v>
      </c>
      <c r="T79" s="48">
        <v>106.5</v>
      </c>
      <c r="U79" s="33">
        <v>100.3</v>
      </c>
      <c r="V79" s="33">
        <v>107.2</v>
      </c>
      <c r="W79" s="33">
        <v>101.5</v>
      </c>
      <c r="X79" s="33">
        <v>104.7</v>
      </c>
      <c r="Y79" s="48">
        <v>105.3</v>
      </c>
      <c r="Z79" s="33">
        <v>103</v>
      </c>
      <c r="AA79" s="33">
        <v>102.5</v>
      </c>
      <c r="AB79" s="33">
        <v>103.9</v>
      </c>
      <c r="AC79" s="33">
        <v>101.4</v>
      </c>
    </row>
    <row r="80" spans="1:29" x14ac:dyDescent="0.3">
      <c r="A80" s="67" t="s">
        <v>98</v>
      </c>
      <c r="B80" s="28" t="s">
        <v>47</v>
      </c>
      <c r="C80" s="29">
        <v>17453.23</v>
      </c>
      <c r="D80" s="30">
        <v>16041.85</v>
      </c>
      <c r="E80" s="47">
        <v>14466.47</v>
      </c>
      <c r="F80" s="30">
        <v>18114.77</v>
      </c>
      <c r="G80" s="30">
        <v>12956.67</v>
      </c>
      <c r="H80" s="30">
        <v>15940.26</v>
      </c>
      <c r="I80" s="30">
        <v>16702.509999999998</v>
      </c>
      <c r="J80" s="30">
        <v>15458.33</v>
      </c>
      <c r="K80" s="30">
        <v>15673.62</v>
      </c>
      <c r="L80" s="30">
        <v>37580</v>
      </c>
      <c r="M80" s="30">
        <v>18150.509999999998</v>
      </c>
      <c r="N80" s="30">
        <v>10027.27</v>
      </c>
      <c r="O80" s="30">
        <v>9710.36</v>
      </c>
      <c r="P80" s="30">
        <v>29963.23</v>
      </c>
      <c r="Q80" s="30">
        <v>31273.58</v>
      </c>
      <c r="R80" s="30">
        <v>13444.68</v>
      </c>
      <c r="S80" s="30">
        <v>24822.31</v>
      </c>
      <c r="T80" s="47">
        <v>19838.03</v>
      </c>
      <c r="U80" s="30">
        <v>13406.12</v>
      </c>
      <c r="V80" s="30">
        <v>26924.07</v>
      </c>
      <c r="W80" s="30">
        <v>14931.34</v>
      </c>
      <c r="X80" s="30">
        <v>14832.81</v>
      </c>
      <c r="Y80" s="47">
        <v>15146.68</v>
      </c>
      <c r="Z80" s="30">
        <v>15479.96</v>
      </c>
      <c r="AA80" s="30">
        <v>14489.15</v>
      </c>
      <c r="AB80" s="30">
        <v>13418.73</v>
      </c>
      <c r="AC80" s="30">
        <v>15852.92</v>
      </c>
    </row>
    <row r="81" spans="1:29" ht="100.8" x14ac:dyDescent="0.3">
      <c r="A81" s="71"/>
      <c r="B81" s="31" t="s">
        <v>99</v>
      </c>
      <c r="C81" s="32">
        <v>122.2</v>
      </c>
      <c r="D81" s="33">
        <v>118.2</v>
      </c>
      <c r="E81" s="48">
        <v>112.2</v>
      </c>
      <c r="F81" s="33">
        <v>120.3</v>
      </c>
      <c r="G81" s="33">
        <v>110.3</v>
      </c>
      <c r="H81" s="33">
        <v>114.1</v>
      </c>
      <c r="I81" s="33">
        <v>116.5</v>
      </c>
      <c r="J81" s="33">
        <v>116.5</v>
      </c>
      <c r="K81" s="33">
        <v>108.7</v>
      </c>
      <c r="L81" s="33">
        <v>123.1</v>
      </c>
      <c r="M81" s="33">
        <v>114.9</v>
      </c>
      <c r="N81" s="33">
        <v>121.3</v>
      </c>
      <c r="O81" s="33">
        <v>110</v>
      </c>
      <c r="P81" s="33">
        <v>110.4</v>
      </c>
      <c r="Q81" s="33">
        <v>133.5</v>
      </c>
      <c r="R81" s="33">
        <v>119.2</v>
      </c>
      <c r="S81" s="33">
        <v>129.9</v>
      </c>
      <c r="T81" s="48">
        <v>125.7</v>
      </c>
      <c r="U81" s="33">
        <v>117.1</v>
      </c>
      <c r="V81" s="33">
        <v>135.19999999999999</v>
      </c>
      <c r="W81" s="33">
        <v>127.5</v>
      </c>
      <c r="X81" s="33">
        <v>127</v>
      </c>
      <c r="Y81" s="48">
        <v>127.4</v>
      </c>
      <c r="Z81" s="33">
        <v>120.5</v>
      </c>
      <c r="AA81" s="33">
        <v>127.4</v>
      </c>
      <c r="AB81" s="33">
        <v>127.4</v>
      </c>
      <c r="AC81" s="33">
        <v>119.4</v>
      </c>
    </row>
    <row r="82" spans="1:29" ht="126" x14ac:dyDescent="0.3">
      <c r="A82" s="72" t="s">
        <v>0</v>
      </c>
      <c r="B82" s="73"/>
      <c r="C82" s="36" t="s">
        <v>1</v>
      </c>
      <c r="D82" s="37" t="s">
        <v>2</v>
      </c>
      <c r="E82" s="50" t="s">
        <v>52</v>
      </c>
      <c r="F82" s="37" t="s">
        <v>3</v>
      </c>
      <c r="G82" s="37" t="s">
        <v>4</v>
      </c>
      <c r="H82" s="37" t="s">
        <v>5</v>
      </c>
      <c r="I82" s="37" t="s">
        <v>6</v>
      </c>
      <c r="J82" s="38" t="s">
        <v>7</v>
      </c>
      <c r="K82" s="38" t="s">
        <v>8</v>
      </c>
      <c r="L82" s="38" t="s">
        <v>9</v>
      </c>
      <c r="M82" s="38" t="s">
        <v>10</v>
      </c>
      <c r="N82" s="38" t="s">
        <v>11</v>
      </c>
      <c r="O82" s="37" t="s">
        <v>12</v>
      </c>
      <c r="P82" s="37" t="s">
        <v>13</v>
      </c>
      <c r="Q82" s="37" t="s">
        <v>14</v>
      </c>
      <c r="R82" s="37" t="s">
        <v>15</v>
      </c>
      <c r="S82" s="37" t="s">
        <v>16</v>
      </c>
      <c r="T82" s="50" t="s">
        <v>68</v>
      </c>
      <c r="U82" s="37" t="s">
        <v>17</v>
      </c>
      <c r="V82" s="37" t="s">
        <v>18</v>
      </c>
      <c r="W82" s="37" t="s">
        <v>19</v>
      </c>
      <c r="X82" s="37" t="s">
        <v>20</v>
      </c>
      <c r="Y82" s="50" t="s">
        <v>74</v>
      </c>
      <c r="Z82" s="37" t="s">
        <v>21</v>
      </c>
      <c r="AA82" s="38" t="s">
        <v>22</v>
      </c>
      <c r="AB82" s="38" t="s">
        <v>23</v>
      </c>
      <c r="AC82" s="37" t="s">
        <v>24</v>
      </c>
    </row>
    <row r="86" spans="1:29" x14ac:dyDescent="0.3">
      <c r="C86" s="29">
        <v>12336.78</v>
      </c>
      <c r="D86" s="30">
        <v>9564.56</v>
      </c>
      <c r="E86" s="30">
        <v>13373.67</v>
      </c>
      <c r="F86" s="30">
        <v>9238.3700000000008</v>
      </c>
      <c r="G86" s="30">
        <v>11897.86</v>
      </c>
      <c r="H86" s="30">
        <v>12209.7</v>
      </c>
      <c r="I86" s="30">
        <v>11765.71</v>
      </c>
      <c r="J86" s="30">
        <v>12603.53</v>
      </c>
      <c r="K86" s="30">
        <v>22393.93</v>
      </c>
      <c r="L86" s="30">
        <v>13157.74</v>
      </c>
      <c r="M86" s="30">
        <v>7523.96</v>
      </c>
      <c r="N86" s="30">
        <v>6647.06</v>
      </c>
      <c r="O86" s="30">
        <v>21941.06</v>
      </c>
      <c r="P86" s="30">
        <v>24095.360000000001</v>
      </c>
      <c r="Q86" s="30">
        <v>9683.1299999999992</v>
      </c>
      <c r="R86" s="30">
        <v>16602.43</v>
      </c>
      <c r="S86" s="30">
        <v>10303.790000000001</v>
      </c>
      <c r="T86" s="30">
        <v>15230.55</v>
      </c>
      <c r="U86" s="30">
        <v>10310.43</v>
      </c>
      <c r="V86" s="30">
        <v>10572.79</v>
      </c>
      <c r="W86" s="30">
        <v>10436.530000000001</v>
      </c>
      <c r="X86" s="30">
        <v>9706.14</v>
      </c>
      <c r="Y86" s="33">
        <v>8971.19</v>
      </c>
      <c r="Z86" s="54">
        <v>11656.71</v>
      </c>
    </row>
    <row r="87" spans="1:29" x14ac:dyDescent="0.3">
      <c r="C87" s="34">
        <v>12548.85</v>
      </c>
      <c r="D87" s="39">
        <v>9596.17</v>
      </c>
      <c r="E87" s="35">
        <v>13196.58</v>
      </c>
      <c r="F87" s="35">
        <v>9844.68</v>
      </c>
      <c r="G87" s="35">
        <v>12245.56</v>
      </c>
      <c r="H87" s="35">
        <v>11728.02</v>
      </c>
      <c r="I87" s="35">
        <v>10939.9</v>
      </c>
      <c r="J87" s="35">
        <v>12251.75</v>
      </c>
      <c r="K87" s="35">
        <v>22613.22</v>
      </c>
      <c r="L87" s="35">
        <v>12846.29</v>
      </c>
      <c r="M87" s="35">
        <v>7435.67</v>
      </c>
      <c r="N87" s="35">
        <v>7892.34</v>
      </c>
      <c r="O87" s="35">
        <v>23001.27</v>
      </c>
      <c r="P87" s="35">
        <v>22319.01</v>
      </c>
      <c r="Q87" s="35">
        <v>10379.76</v>
      </c>
      <c r="R87" s="35">
        <v>17550.21</v>
      </c>
      <c r="S87" s="35">
        <v>10414.19</v>
      </c>
      <c r="T87" s="35">
        <v>15929.49</v>
      </c>
      <c r="U87" s="35">
        <v>11025.77</v>
      </c>
      <c r="V87" s="35">
        <v>10959.74</v>
      </c>
      <c r="W87" s="35">
        <v>11887.52</v>
      </c>
      <c r="X87" s="35">
        <v>10927.01</v>
      </c>
      <c r="Y87" s="53">
        <v>9302.2900000000009</v>
      </c>
      <c r="Z87" s="54">
        <v>11648.07</v>
      </c>
    </row>
    <row r="88" spans="1:29" x14ac:dyDescent="0.3">
      <c r="C88" s="34">
        <v>13612.21</v>
      </c>
      <c r="D88" s="39">
        <v>10684.76</v>
      </c>
      <c r="E88" s="35">
        <v>14994.5</v>
      </c>
      <c r="F88" s="35">
        <v>10297.280000000001</v>
      </c>
      <c r="G88" s="35">
        <v>13854.04</v>
      </c>
      <c r="H88" s="35">
        <v>12539.86</v>
      </c>
      <c r="I88" s="35">
        <v>11545.69</v>
      </c>
      <c r="J88" s="35">
        <v>13947.39</v>
      </c>
      <c r="K88" s="35">
        <v>25219.31</v>
      </c>
      <c r="L88" s="35">
        <v>13705.58</v>
      </c>
      <c r="M88" s="35">
        <v>8349.33</v>
      </c>
      <c r="N88" s="35">
        <v>7748.78</v>
      </c>
      <c r="O88" s="35">
        <v>25504.46</v>
      </c>
      <c r="P88" s="35">
        <v>24279.16</v>
      </c>
      <c r="Q88" s="35">
        <v>10354.879999999999</v>
      </c>
      <c r="R88" s="35">
        <v>18767.509999999998</v>
      </c>
      <c r="S88" s="35">
        <v>10978.86</v>
      </c>
      <c r="T88" s="35">
        <v>16504.919999999998</v>
      </c>
      <c r="U88" s="35">
        <v>10959.14</v>
      </c>
      <c r="V88" s="35">
        <v>12246.33</v>
      </c>
      <c r="W88" s="35">
        <v>11729.25</v>
      </c>
      <c r="X88" s="35">
        <v>10643.98</v>
      </c>
      <c r="Y88" s="53">
        <v>9814.5499999999993</v>
      </c>
      <c r="Z88" s="54">
        <v>13347.91</v>
      </c>
    </row>
    <row r="89" spans="1:29" x14ac:dyDescent="0.3">
      <c r="C89" s="34">
        <v>13543.08</v>
      </c>
      <c r="D89" s="39">
        <v>12451.22</v>
      </c>
      <c r="E89" s="35">
        <v>14471.17</v>
      </c>
      <c r="F89" s="35">
        <v>10954.89</v>
      </c>
      <c r="G89" s="35">
        <v>12692.6</v>
      </c>
      <c r="H89" s="35">
        <v>13204.61</v>
      </c>
      <c r="I89" s="35">
        <v>13100.55</v>
      </c>
      <c r="J89" s="35">
        <v>15080.88</v>
      </c>
      <c r="K89" s="35">
        <v>25651.53</v>
      </c>
      <c r="L89" s="35">
        <v>13851.45</v>
      </c>
      <c r="M89" s="35">
        <v>7745.07</v>
      </c>
      <c r="N89" s="35">
        <v>6979.35</v>
      </c>
      <c r="O89" s="35">
        <v>27101.05</v>
      </c>
      <c r="P89" s="35">
        <v>23556.85</v>
      </c>
      <c r="Q89" s="35">
        <v>10861.29</v>
      </c>
      <c r="R89" s="35">
        <v>21882.71</v>
      </c>
      <c r="S89" s="35">
        <v>10677.56</v>
      </c>
      <c r="T89" s="35">
        <v>17116.400000000001</v>
      </c>
      <c r="U89" s="35">
        <v>10858.92</v>
      </c>
      <c r="V89" s="35">
        <v>11734.77</v>
      </c>
      <c r="W89" s="35">
        <v>11053.51</v>
      </c>
      <c r="X89" s="35">
        <v>9794.3700000000008</v>
      </c>
      <c r="Y89" s="53">
        <v>9339.7999999999993</v>
      </c>
      <c r="Z89" s="54">
        <v>12420.12</v>
      </c>
    </row>
    <row r="90" spans="1:29" x14ac:dyDescent="0.3">
      <c r="C90" s="29">
        <v>13498.94</v>
      </c>
      <c r="D90" s="30">
        <v>11800.87</v>
      </c>
      <c r="E90" s="30">
        <v>14295.81</v>
      </c>
      <c r="F90" s="30">
        <v>10919.75</v>
      </c>
      <c r="G90" s="30">
        <v>13166.87</v>
      </c>
      <c r="H90" s="30">
        <v>13165</v>
      </c>
      <c r="I90" s="30">
        <v>12526.68</v>
      </c>
      <c r="J90" s="30">
        <v>14897.47</v>
      </c>
      <c r="K90" s="30">
        <v>28041.81</v>
      </c>
      <c r="L90" s="30">
        <v>14119.26</v>
      </c>
      <c r="M90" s="30">
        <v>7848.51</v>
      </c>
      <c r="N90" s="30">
        <v>8875.2999999999993</v>
      </c>
      <c r="O90" s="30">
        <v>25264.51</v>
      </c>
      <c r="P90" s="30">
        <v>21965.16</v>
      </c>
      <c r="Q90" s="30">
        <v>11138.85</v>
      </c>
      <c r="R90" s="30">
        <v>17744.55</v>
      </c>
      <c r="S90" s="30">
        <v>10725.57</v>
      </c>
      <c r="T90" s="30">
        <v>17931.12</v>
      </c>
      <c r="U90" s="30">
        <v>11579.38</v>
      </c>
      <c r="V90" s="30">
        <v>11526.25</v>
      </c>
      <c r="W90" s="30">
        <v>12059.05</v>
      </c>
      <c r="X90" s="30">
        <v>10832.62</v>
      </c>
      <c r="Y90" s="33">
        <v>10301.07</v>
      </c>
      <c r="Z90" s="54">
        <v>12349.49</v>
      </c>
    </row>
    <row r="91" spans="1:29" x14ac:dyDescent="0.3">
      <c r="C91" s="29">
        <v>14312.85</v>
      </c>
      <c r="D91" s="30">
        <v>11875.19</v>
      </c>
      <c r="E91" s="30">
        <v>14709.88</v>
      </c>
      <c r="F91" s="30">
        <v>11301.81</v>
      </c>
      <c r="G91" s="30">
        <v>13340.77</v>
      </c>
      <c r="H91" s="30">
        <v>12983.81</v>
      </c>
      <c r="I91" s="30">
        <v>12161.79</v>
      </c>
      <c r="J91" s="30">
        <v>14766.07</v>
      </c>
      <c r="K91" s="30">
        <v>29288.32</v>
      </c>
      <c r="L91" s="30">
        <v>13810.01</v>
      </c>
      <c r="M91" s="30">
        <v>8669.14</v>
      </c>
      <c r="N91" s="30">
        <v>8922.2800000000007</v>
      </c>
      <c r="O91" s="30">
        <v>26197.07</v>
      </c>
      <c r="P91" s="30">
        <v>22690.93</v>
      </c>
      <c r="Q91" s="30">
        <v>11208.43</v>
      </c>
      <c r="R91" s="30">
        <v>19052.330000000002</v>
      </c>
      <c r="S91" s="30">
        <v>11034.07</v>
      </c>
      <c r="T91" s="30">
        <v>19867.78</v>
      </c>
      <c r="U91" s="30">
        <v>14158.09</v>
      </c>
      <c r="V91" s="30">
        <v>12089.52</v>
      </c>
      <c r="W91" s="30">
        <v>13259.54</v>
      </c>
      <c r="X91" s="30">
        <v>12262.69</v>
      </c>
      <c r="Y91" s="33">
        <v>11094.14</v>
      </c>
      <c r="Z91" s="54">
        <v>14049.38</v>
      </c>
    </row>
    <row r="92" spans="1:29" x14ac:dyDescent="0.3">
      <c r="C92" s="29">
        <v>14345.13</v>
      </c>
      <c r="D92" s="30">
        <v>12732.55</v>
      </c>
      <c r="E92" s="30">
        <v>15246.91</v>
      </c>
      <c r="F92" s="30">
        <v>11838.54</v>
      </c>
      <c r="G92" s="30">
        <v>13505.65</v>
      </c>
      <c r="H92" s="30">
        <v>15256.65</v>
      </c>
      <c r="I92" s="30">
        <v>14681.47</v>
      </c>
      <c r="J92" s="30">
        <v>15355.78</v>
      </c>
      <c r="K92" s="30">
        <v>29975.87</v>
      </c>
      <c r="L92" s="30">
        <v>16646.54</v>
      </c>
      <c r="M92" s="30">
        <v>7869.19</v>
      </c>
      <c r="N92" s="30">
        <v>8870.9599999999991</v>
      </c>
      <c r="O92" s="30">
        <v>24945.61</v>
      </c>
      <c r="P92" s="30">
        <v>24489.32</v>
      </c>
      <c r="Q92" s="30">
        <v>11489.56</v>
      </c>
      <c r="R92" s="30">
        <v>19203.419999999998</v>
      </c>
      <c r="S92" s="30">
        <v>11282.8</v>
      </c>
      <c r="T92" s="30">
        <v>20782.3</v>
      </c>
      <c r="U92" s="30">
        <v>11894.82</v>
      </c>
      <c r="V92" s="30">
        <v>11175.39</v>
      </c>
      <c r="W92" s="30">
        <v>13145.42</v>
      </c>
      <c r="X92" s="30">
        <v>12116.94</v>
      </c>
      <c r="Y92" s="33">
        <v>11112.96</v>
      </c>
      <c r="Z92" s="54">
        <v>15545.85</v>
      </c>
    </row>
    <row r="93" spans="1:29" x14ac:dyDescent="0.3">
      <c r="C93" s="29">
        <v>13997</v>
      </c>
      <c r="D93" s="30">
        <v>12252.85</v>
      </c>
      <c r="E93" s="30">
        <v>15056.99</v>
      </c>
      <c r="F93" s="30">
        <v>11867.82</v>
      </c>
      <c r="G93" s="30">
        <v>13684.54</v>
      </c>
      <c r="H93" s="30">
        <v>15072.35</v>
      </c>
      <c r="I93" s="30">
        <v>14793.4</v>
      </c>
      <c r="J93" s="30">
        <v>15237.96</v>
      </c>
      <c r="K93" s="30">
        <v>30652.63</v>
      </c>
      <c r="L93" s="30">
        <v>16103.59</v>
      </c>
      <c r="M93" s="30">
        <v>7888.11</v>
      </c>
      <c r="N93" s="30">
        <v>9787.7099999999991</v>
      </c>
      <c r="O93" s="30">
        <v>24812.74</v>
      </c>
      <c r="P93" s="30">
        <v>23536.7</v>
      </c>
      <c r="Q93" s="30">
        <v>11383.94</v>
      </c>
      <c r="R93" s="30">
        <v>19170.22</v>
      </c>
      <c r="S93" s="30">
        <v>11345.11</v>
      </c>
      <c r="T93" s="30">
        <v>21207.07</v>
      </c>
      <c r="U93" s="30">
        <v>10472.549999999999</v>
      </c>
      <c r="V93" s="30">
        <v>10898.24</v>
      </c>
      <c r="W93" s="30">
        <v>12489.75</v>
      </c>
      <c r="X93" s="30">
        <v>11105.93</v>
      </c>
      <c r="Y93" s="33">
        <v>10656.15</v>
      </c>
      <c r="Z93" s="54">
        <v>13051.08</v>
      </c>
    </row>
    <row r="94" spans="1:29" x14ac:dyDescent="0.3">
      <c r="C94" s="29">
        <v>14239.3</v>
      </c>
      <c r="D94" s="30">
        <v>12979.6</v>
      </c>
      <c r="E94" s="30">
        <v>15406.07</v>
      </c>
      <c r="F94" s="30">
        <v>12401.6</v>
      </c>
      <c r="G94" s="30">
        <v>13828.29</v>
      </c>
      <c r="H94" s="30">
        <v>14496.25</v>
      </c>
      <c r="I94" s="30">
        <v>13627.37</v>
      </c>
      <c r="J94" s="30">
        <v>15399.69</v>
      </c>
      <c r="K94" s="30">
        <v>29833</v>
      </c>
      <c r="L94" s="30">
        <v>15749</v>
      </c>
      <c r="M94" s="30">
        <v>8757.2199999999993</v>
      </c>
      <c r="N94" s="30">
        <v>9039.36</v>
      </c>
      <c r="O94" s="30">
        <v>25427.23</v>
      </c>
      <c r="P94" s="30">
        <v>22547.38</v>
      </c>
      <c r="Q94" s="30">
        <v>11371.43</v>
      </c>
      <c r="R94" s="30">
        <v>19513.89</v>
      </c>
      <c r="S94" s="30">
        <v>11294.93</v>
      </c>
      <c r="T94" s="30">
        <v>18841.98</v>
      </c>
      <c r="U94" s="30">
        <v>12333.61</v>
      </c>
      <c r="V94" s="30">
        <v>10585.54</v>
      </c>
      <c r="W94" s="30">
        <v>13226.8</v>
      </c>
      <c r="X94" s="30">
        <v>11432.19</v>
      </c>
      <c r="Y94" s="33">
        <v>10878.95</v>
      </c>
      <c r="Z94" s="54">
        <v>13089.94</v>
      </c>
    </row>
    <row r="95" spans="1:29" x14ac:dyDescent="0.3">
      <c r="C95" s="29">
        <v>14044.81</v>
      </c>
      <c r="D95" s="30">
        <v>13304.07</v>
      </c>
      <c r="E95" s="30">
        <v>14993.45</v>
      </c>
      <c r="F95" s="30">
        <v>11806.61</v>
      </c>
      <c r="G95" s="30">
        <v>13744.67</v>
      </c>
      <c r="H95" s="30">
        <v>14568.48</v>
      </c>
      <c r="I95" s="30">
        <v>13790.14</v>
      </c>
      <c r="J95" s="30">
        <v>14175.03</v>
      </c>
      <c r="K95" s="30">
        <v>30135.95</v>
      </c>
      <c r="L95" s="30">
        <v>15835.12</v>
      </c>
      <c r="M95" s="30">
        <v>8313.58</v>
      </c>
      <c r="N95" s="30">
        <v>8851.57</v>
      </c>
      <c r="O95" s="30">
        <v>25195.63</v>
      </c>
      <c r="P95" s="30">
        <v>23641.88</v>
      </c>
      <c r="Q95" s="30">
        <v>11195.24</v>
      </c>
      <c r="R95" s="30">
        <v>19047.05</v>
      </c>
      <c r="S95" s="30">
        <v>11414.94</v>
      </c>
      <c r="T95" s="30">
        <v>18577.8</v>
      </c>
      <c r="U95" s="30">
        <v>11532</v>
      </c>
      <c r="V95" s="30">
        <v>11159.61</v>
      </c>
      <c r="W95" s="30">
        <v>12470.65</v>
      </c>
      <c r="X95" s="30">
        <v>11091.43</v>
      </c>
      <c r="Y95" s="33">
        <v>10134.379999999999</v>
      </c>
      <c r="Z95" s="54">
        <v>13095.59</v>
      </c>
    </row>
    <row r="96" spans="1:29" x14ac:dyDescent="0.3">
      <c r="C96" s="29">
        <v>14282.18</v>
      </c>
      <c r="D96" s="30">
        <v>13574.16</v>
      </c>
      <c r="E96" s="30">
        <v>15061.85</v>
      </c>
      <c r="F96" s="30">
        <v>11749.5</v>
      </c>
      <c r="G96" s="30">
        <v>13972.02</v>
      </c>
      <c r="H96" s="30">
        <v>14336.6</v>
      </c>
      <c r="I96" s="30">
        <v>13265.96</v>
      </c>
      <c r="J96" s="30">
        <v>14424.41</v>
      </c>
      <c r="K96" s="30">
        <v>30528.79</v>
      </c>
      <c r="L96" s="30">
        <v>15790.36</v>
      </c>
      <c r="M96" s="30">
        <v>8266.2900000000009</v>
      </c>
      <c r="N96" s="30">
        <v>8823.66</v>
      </c>
      <c r="O96" s="30">
        <v>27140.84</v>
      </c>
      <c r="P96" s="30">
        <v>23418.97</v>
      </c>
      <c r="Q96" s="30">
        <v>11281.01</v>
      </c>
      <c r="R96" s="30">
        <v>19114.34</v>
      </c>
      <c r="S96" s="30">
        <v>11444.25</v>
      </c>
      <c r="T96" s="30">
        <v>19917.09</v>
      </c>
      <c r="U96" s="30">
        <v>11709.51</v>
      </c>
      <c r="V96" s="30">
        <v>11683.34</v>
      </c>
      <c r="W96" s="30">
        <v>12847.03</v>
      </c>
      <c r="X96" s="30">
        <v>11370.35</v>
      </c>
      <c r="Y96" s="33">
        <v>10532.43</v>
      </c>
      <c r="Z96" s="54">
        <v>13282.23</v>
      </c>
    </row>
    <row r="97" spans="1:28" x14ac:dyDescent="0.3">
      <c r="C97" s="29">
        <v>17453.23</v>
      </c>
      <c r="D97" s="30">
        <v>16041.85</v>
      </c>
      <c r="E97" s="30">
        <v>18114.77</v>
      </c>
      <c r="F97" s="30">
        <v>12956.67</v>
      </c>
      <c r="G97" s="30">
        <v>15940.26</v>
      </c>
      <c r="H97" s="30">
        <v>16702.509999999998</v>
      </c>
      <c r="I97" s="30">
        <v>15458.33</v>
      </c>
      <c r="J97" s="30">
        <v>15673.62</v>
      </c>
      <c r="K97" s="30">
        <v>37580</v>
      </c>
      <c r="L97" s="30">
        <v>18150.509999999998</v>
      </c>
      <c r="M97" s="30">
        <v>10027.27</v>
      </c>
      <c r="N97" s="30">
        <v>9710.36</v>
      </c>
      <c r="O97" s="30">
        <v>29963.23</v>
      </c>
      <c r="P97" s="30">
        <v>31273.58</v>
      </c>
      <c r="Q97" s="30">
        <v>13444.68</v>
      </c>
      <c r="R97" s="30">
        <v>24822.31</v>
      </c>
      <c r="S97" s="30">
        <v>13406.12</v>
      </c>
      <c r="T97" s="30">
        <v>26924.07</v>
      </c>
      <c r="U97" s="30">
        <v>14931.34</v>
      </c>
      <c r="V97" s="30">
        <v>14832.81</v>
      </c>
      <c r="W97" s="30">
        <v>15479.96</v>
      </c>
      <c r="X97" s="30">
        <v>14489.15</v>
      </c>
      <c r="Y97" s="33">
        <v>13418.73</v>
      </c>
      <c r="Z97" s="54">
        <v>15852.92</v>
      </c>
    </row>
    <row r="98" spans="1:28" x14ac:dyDescent="0.3">
      <c r="D98" s="51"/>
      <c r="E98" s="3"/>
      <c r="S98" s="51"/>
      <c r="T98" s="3"/>
      <c r="X98" s="51"/>
      <c r="Y98" s="3"/>
    </row>
    <row r="101" spans="1:28" ht="37.799999999999997" x14ac:dyDescent="0.3">
      <c r="A101" s="69"/>
      <c r="B101" s="70"/>
      <c r="C101" s="55" t="s">
        <v>100</v>
      </c>
      <c r="D101" s="7" t="s">
        <v>101</v>
      </c>
      <c r="E101" s="7" t="s">
        <v>102</v>
      </c>
      <c r="F101" s="7" t="s">
        <v>103</v>
      </c>
      <c r="G101" s="7" t="s">
        <v>104</v>
      </c>
      <c r="H101" s="7" t="s">
        <v>105</v>
      </c>
      <c r="I101" s="7" t="s">
        <v>106</v>
      </c>
      <c r="J101" s="7" t="s">
        <v>107</v>
      </c>
      <c r="K101" s="7" t="s">
        <v>108</v>
      </c>
      <c r="L101" s="7" t="s">
        <v>109</v>
      </c>
      <c r="M101" s="7" t="s">
        <v>110</v>
      </c>
      <c r="N101" s="7" t="s">
        <v>111</v>
      </c>
      <c r="O101" s="7" t="s">
        <v>112</v>
      </c>
      <c r="P101" s="7" t="s">
        <v>113</v>
      </c>
      <c r="Q101" s="7" t="s">
        <v>114</v>
      </c>
      <c r="R101" s="7" t="s">
        <v>115</v>
      </c>
      <c r="S101" s="7" t="s">
        <v>116</v>
      </c>
      <c r="T101" s="7" t="s">
        <v>117</v>
      </c>
      <c r="U101" s="7" t="s">
        <v>118</v>
      </c>
      <c r="V101" s="7" t="s">
        <v>119</v>
      </c>
      <c r="W101" s="7" t="s">
        <v>120</v>
      </c>
      <c r="X101" s="7" t="s">
        <v>121</v>
      </c>
      <c r="Y101" s="7" t="s">
        <v>122</v>
      </c>
      <c r="Z101" s="7" t="s">
        <v>123</v>
      </c>
      <c r="AA101" s="7" t="s">
        <v>124</v>
      </c>
      <c r="AB101" s="7" t="s">
        <v>125</v>
      </c>
    </row>
    <row r="102" spans="1:28" ht="25.2" x14ac:dyDescent="0.3">
      <c r="A102" s="62" t="s">
        <v>87</v>
      </c>
      <c r="B102" s="5" t="s">
        <v>47</v>
      </c>
      <c r="C102" s="56">
        <v>12336.78</v>
      </c>
      <c r="D102" s="57">
        <v>10750.85</v>
      </c>
      <c r="E102" s="57">
        <v>10047.56</v>
      </c>
      <c r="F102" s="57">
        <v>12743.52</v>
      </c>
      <c r="G102" s="57">
        <v>13785.71</v>
      </c>
      <c r="H102" s="57">
        <v>10111.219999999999</v>
      </c>
      <c r="I102" s="57">
        <v>10416.64</v>
      </c>
      <c r="J102" s="57">
        <v>12542.14</v>
      </c>
      <c r="K102" s="57">
        <v>10558.19</v>
      </c>
      <c r="L102" s="57">
        <v>12644.59</v>
      </c>
      <c r="M102" s="57">
        <v>9779.83</v>
      </c>
      <c r="N102" s="57">
        <v>10324.1</v>
      </c>
      <c r="O102" s="57">
        <v>11037.88</v>
      </c>
      <c r="P102" s="57">
        <v>12534.96</v>
      </c>
      <c r="Q102" s="57">
        <v>10995.02</v>
      </c>
      <c r="R102" s="57">
        <v>11352.79</v>
      </c>
      <c r="S102" s="57">
        <v>11405.97</v>
      </c>
      <c r="T102" s="57">
        <v>10306.42</v>
      </c>
      <c r="U102" s="57">
        <v>9921.7199999999993</v>
      </c>
      <c r="V102" s="57">
        <v>10363.84</v>
      </c>
      <c r="W102" s="57">
        <v>9971.0300000000007</v>
      </c>
      <c r="X102" s="57">
        <v>10725.16</v>
      </c>
      <c r="Y102" s="57">
        <v>10460.200000000001</v>
      </c>
      <c r="Z102" s="57">
        <v>9696.2999999999993</v>
      </c>
      <c r="AA102" s="57">
        <v>9876.93</v>
      </c>
      <c r="AB102" s="57">
        <v>17533.23</v>
      </c>
    </row>
    <row r="103" spans="1:28" ht="37.799999999999997" x14ac:dyDescent="0.3">
      <c r="A103" s="63" t="s">
        <v>88</v>
      </c>
      <c r="B103" s="5" t="s">
        <v>47</v>
      </c>
      <c r="C103" s="58">
        <v>12548.85</v>
      </c>
      <c r="D103" s="59">
        <v>10927.35</v>
      </c>
      <c r="E103" s="59">
        <v>10231.870000000001</v>
      </c>
      <c r="F103" s="59">
        <v>12321.54</v>
      </c>
      <c r="G103" s="59">
        <v>13223.52</v>
      </c>
      <c r="H103" s="59">
        <v>10205.709999999999</v>
      </c>
      <c r="I103" s="59">
        <v>11043.31</v>
      </c>
      <c r="J103" s="59">
        <v>12422.04</v>
      </c>
      <c r="K103" s="59">
        <v>10771.53</v>
      </c>
      <c r="L103" s="59">
        <v>12746.98</v>
      </c>
      <c r="M103" s="59">
        <v>9902.6</v>
      </c>
      <c r="N103" s="59">
        <v>11175.53</v>
      </c>
      <c r="O103" s="59">
        <v>11139.03</v>
      </c>
      <c r="P103" s="59">
        <v>12392.33</v>
      </c>
      <c r="Q103" s="59">
        <v>11232.59</v>
      </c>
      <c r="R103" s="59">
        <v>11538.4</v>
      </c>
      <c r="S103" s="59">
        <v>11266.9</v>
      </c>
      <c r="T103" s="59">
        <v>10407.85</v>
      </c>
      <c r="U103" s="59">
        <v>10280.07</v>
      </c>
      <c r="V103" s="59">
        <v>10795.92</v>
      </c>
      <c r="W103" s="59">
        <v>10105.92</v>
      </c>
      <c r="X103" s="59">
        <v>10941.95</v>
      </c>
      <c r="Y103" s="59">
        <v>10587.5</v>
      </c>
      <c r="Z103" s="59">
        <v>10155.700000000001</v>
      </c>
      <c r="AA103" s="59">
        <v>10122.19</v>
      </c>
      <c r="AB103" s="59">
        <v>18504.48</v>
      </c>
    </row>
    <row r="104" spans="1:28" ht="15" customHeight="1" x14ac:dyDescent="0.3">
      <c r="A104" s="63" t="s">
        <v>89</v>
      </c>
      <c r="B104" s="5" t="s">
        <v>47</v>
      </c>
      <c r="C104" s="58">
        <v>13612.21</v>
      </c>
      <c r="D104" s="59">
        <v>11695.79</v>
      </c>
      <c r="E104" s="59">
        <v>11031.38</v>
      </c>
      <c r="F104" s="59">
        <v>13676.58</v>
      </c>
      <c r="G104" s="59">
        <v>15907.12</v>
      </c>
      <c r="H104" s="59">
        <v>10674.88</v>
      </c>
      <c r="I104" s="59">
        <v>11538.06</v>
      </c>
      <c r="J104" s="59">
        <v>13721.29</v>
      </c>
      <c r="K104" s="59">
        <v>11493.24</v>
      </c>
      <c r="L104" s="59">
        <v>13438.09</v>
      </c>
      <c r="M104" s="59">
        <v>10705.76</v>
      </c>
      <c r="N104" s="59">
        <v>11258.92</v>
      </c>
      <c r="O104" s="59">
        <v>11936.88</v>
      </c>
      <c r="P104" s="59">
        <v>13461.9</v>
      </c>
      <c r="Q104" s="59">
        <v>11889.01</v>
      </c>
      <c r="R104" s="59">
        <v>12404.32</v>
      </c>
      <c r="S104" s="59">
        <v>12879.42</v>
      </c>
      <c r="T104" s="59">
        <v>11016.41</v>
      </c>
      <c r="U104" s="59">
        <v>10972.55</v>
      </c>
      <c r="V104" s="59">
        <v>11312.97</v>
      </c>
      <c r="W104" s="59">
        <v>11318.77</v>
      </c>
      <c r="X104" s="59">
        <v>11892.49</v>
      </c>
      <c r="Y104" s="59">
        <v>11461.92</v>
      </c>
      <c r="Z104" s="59">
        <v>10860.75</v>
      </c>
      <c r="AA104" s="59">
        <v>10721.59</v>
      </c>
      <c r="AB104" s="59">
        <v>20132.13</v>
      </c>
    </row>
    <row r="105" spans="1:28" ht="15" customHeight="1" x14ac:dyDescent="0.3">
      <c r="A105" s="63" t="s">
        <v>90</v>
      </c>
      <c r="B105" s="5" t="s">
        <v>47</v>
      </c>
      <c r="C105" s="58">
        <v>13543.08</v>
      </c>
      <c r="D105" s="59">
        <v>11976.54</v>
      </c>
      <c r="E105" s="59">
        <v>10776.77</v>
      </c>
      <c r="F105" s="59">
        <v>13129.05</v>
      </c>
      <c r="G105" s="59">
        <v>13885.9</v>
      </c>
      <c r="H105" s="59">
        <v>11201.95</v>
      </c>
      <c r="I105" s="59">
        <v>11608.37</v>
      </c>
      <c r="J105" s="59">
        <v>13193.46</v>
      </c>
      <c r="K105" s="59">
        <v>11906.07</v>
      </c>
      <c r="L105" s="59">
        <v>13907.56</v>
      </c>
      <c r="M105" s="59">
        <v>10779.52</v>
      </c>
      <c r="N105" s="59">
        <v>11696.01</v>
      </c>
      <c r="O105" s="59">
        <v>12051.96</v>
      </c>
      <c r="P105" s="59">
        <v>12650.58</v>
      </c>
      <c r="Q105" s="59">
        <v>11624.14</v>
      </c>
      <c r="R105" s="59">
        <v>12574.56</v>
      </c>
      <c r="S105" s="59">
        <v>11811.59</v>
      </c>
      <c r="T105" s="59">
        <v>11303.18</v>
      </c>
      <c r="U105" s="59">
        <v>11612.85</v>
      </c>
      <c r="V105" s="59">
        <v>11765.96</v>
      </c>
      <c r="W105" s="59">
        <v>10647.11</v>
      </c>
      <c r="X105" s="59">
        <v>11801.28</v>
      </c>
      <c r="Y105" s="59">
        <v>11690.16</v>
      </c>
      <c r="Z105" s="59">
        <v>10826.37</v>
      </c>
      <c r="AA105" s="59">
        <v>11173.77</v>
      </c>
      <c r="AB105" s="59">
        <v>20421.759999999998</v>
      </c>
    </row>
    <row r="106" spans="1:28" ht="15" customHeight="1" x14ac:dyDescent="0.3">
      <c r="A106" s="63" t="s">
        <v>91</v>
      </c>
      <c r="B106" s="5" t="s">
        <v>47</v>
      </c>
      <c r="C106" s="56">
        <v>13499</v>
      </c>
      <c r="D106" s="57">
        <v>12247</v>
      </c>
      <c r="E106" s="57">
        <v>10890</v>
      </c>
      <c r="F106" s="57">
        <v>13460</v>
      </c>
      <c r="G106" s="57">
        <v>14457</v>
      </c>
      <c r="H106" s="57">
        <v>11396</v>
      </c>
      <c r="I106" s="57">
        <v>11743</v>
      </c>
      <c r="J106" s="57">
        <v>13472</v>
      </c>
      <c r="K106" s="57">
        <v>11681</v>
      </c>
      <c r="L106" s="57">
        <v>13850</v>
      </c>
      <c r="M106" s="57">
        <v>10903</v>
      </c>
      <c r="N106" s="57">
        <v>11961</v>
      </c>
      <c r="O106" s="57">
        <v>12065</v>
      </c>
      <c r="P106" s="57">
        <v>13113</v>
      </c>
      <c r="Q106" s="57">
        <v>11994</v>
      </c>
      <c r="R106" s="57">
        <v>12584</v>
      </c>
      <c r="S106" s="57">
        <v>11997</v>
      </c>
      <c r="T106" s="57">
        <v>11524</v>
      </c>
      <c r="U106" s="57">
        <v>11230</v>
      </c>
      <c r="V106" s="57">
        <v>11674</v>
      </c>
      <c r="W106" s="57">
        <v>11113</v>
      </c>
      <c r="X106" s="57">
        <v>11757</v>
      </c>
      <c r="Y106" s="57">
        <v>11876</v>
      </c>
      <c r="Z106" s="57">
        <v>10941</v>
      </c>
      <c r="AA106" s="57">
        <v>11182</v>
      </c>
      <c r="AB106" s="57">
        <v>19287</v>
      </c>
    </row>
    <row r="107" spans="1:28" ht="15" customHeight="1" x14ac:dyDescent="0.3">
      <c r="A107" s="63" t="s">
        <v>92</v>
      </c>
      <c r="B107" s="5" t="s">
        <v>47</v>
      </c>
      <c r="C107" s="56">
        <v>14312.85</v>
      </c>
      <c r="D107" s="57">
        <v>12789.18</v>
      </c>
      <c r="E107" s="57">
        <v>12126.08</v>
      </c>
      <c r="F107" s="57">
        <v>13831.54</v>
      </c>
      <c r="G107" s="57">
        <v>14987.65</v>
      </c>
      <c r="H107" s="57">
        <v>12221.37</v>
      </c>
      <c r="I107" s="57">
        <v>13019.66</v>
      </c>
      <c r="J107" s="57">
        <v>13895.1</v>
      </c>
      <c r="K107" s="57">
        <v>12904.73</v>
      </c>
      <c r="L107" s="57">
        <v>14679.48</v>
      </c>
      <c r="M107" s="57">
        <v>11496.76</v>
      </c>
      <c r="N107" s="57">
        <v>12753.77</v>
      </c>
      <c r="O107" s="57">
        <v>12902.72</v>
      </c>
      <c r="P107" s="57">
        <v>14043.93</v>
      </c>
      <c r="Q107" s="57">
        <v>12841.52</v>
      </c>
      <c r="R107" s="57">
        <v>13088.23</v>
      </c>
      <c r="S107" s="57">
        <v>13005.12</v>
      </c>
      <c r="T107" s="57">
        <v>12297.21</v>
      </c>
      <c r="U107" s="57">
        <v>12293.41</v>
      </c>
      <c r="V107" s="57">
        <v>12298.13</v>
      </c>
      <c r="W107" s="57">
        <v>12109.6</v>
      </c>
      <c r="X107" s="57">
        <v>12965.11</v>
      </c>
      <c r="Y107" s="57">
        <v>12447.56</v>
      </c>
      <c r="Z107" s="57">
        <v>12131.78</v>
      </c>
      <c r="AA107" s="57">
        <v>12127.97</v>
      </c>
      <c r="AB107" s="57">
        <v>20455.060000000001</v>
      </c>
    </row>
    <row r="108" spans="1:28" ht="15" customHeight="1" x14ac:dyDescent="0.3">
      <c r="A108" s="63" t="s">
        <v>93</v>
      </c>
      <c r="B108" s="5" t="s">
        <v>47</v>
      </c>
      <c r="C108" s="56">
        <v>14345.13</v>
      </c>
      <c r="D108" s="57">
        <v>12781.73</v>
      </c>
      <c r="E108" s="57">
        <v>11740.19</v>
      </c>
      <c r="F108" s="57">
        <v>13891.77</v>
      </c>
      <c r="G108" s="57">
        <v>15287.26</v>
      </c>
      <c r="H108" s="57">
        <v>12044.46</v>
      </c>
      <c r="I108" s="57">
        <v>12745.17</v>
      </c>
      <c r="J108" s="57">
        <v>14106.57</v>
      </c>
      <c r="K108" s="57">
        <v>12625.1</v>
      </c>
      <c r="L108" s="57">
        <v>14543.19</v>
      </c>
      <c r="M108" s="57">
        <v>11684.45</v>
      </c>
      <c r="N108" s="57">
        <v>12555.88</v>
      </c>
      <c r="O108" s="57">
        <v>12924.42</v>
      </c>
      <c r="P108" s="57">
        <v>14071.88</v>
      </c>
      <c r="Q108" s="57">
        <v>12609.4</v>
      </c>
      <c r="R108" s="57">
        <v>13320.65</v>
      </c>
      <c r="S108" s="57">
        <v>12865.89</v>
      </c>
      <c r="T108" s="57">
        <v>12347.57</v>
      </c>
      <c r="U108" s="57">
        <v>11742.54</v>
      </c>
      <c r="V108" s="57">
        <v>12374.08</v>
      </c>
      <c r="W108" s="57">
        <v>11552.23</v>
      </c>
      <c r="X108" s="57">
        <v>12338.34</v>
      </c>
      <c r="Y108" s="57">
        <v>12306.59</v>
      </c>
      <c r="Z108" s="57">
        <v>11349.93</v>
      </c>
      <c r="AA108" s="57">
        <v>11546.61</v>
      </c>
      <c r="AB108" s="57">
        <v>20956.46</v>
      </c>
    </row>
    <row r="109" spans="1:28" ht="15" customHeight="1" x14ac:dyDescent="0.3">
      <c r="A109" s="63" t="s">
        <v>94</v>
      </c>
      <c r="B109" s="5" t="s">
        <v>47</v>
      </c>
      <c r="C109" s="56">
        <v>13997</v>
      </c>
      <c r="D109" s="57">
        <v>12425.99</v>
      </c>
      <c r="E109" s="57">
        <v>11254.16</v>
      </c>
      <c r="F109" s="57">
        <v>13956.8</v>
      </c>
      <c r="G109" s="57">
        <v>14847.71</v>
      </c>
      <c r="H109" s="57">
        <v>11624</v>
      </c>
      <c r="I109" s="57">
        <v>12221.38</v>
      </c>
      <c r="J109" s="57">
        <v>13952.12</v>
      </c>
      <c r="K109" s="57">
        <v>11777.92</v>
      </c>
      <c r="L109" s="57">
        <v>14227.69</v>
      </c>
      <c r="M109" s="57">
        <v>11088</v>
      </c>
      <c r="N109" s="57">
        <v>11810.69</v>
      </c>
      <c r="O109" s="57">
        <v>12724.44</v>
      </c>
      <c r="P109" s="57">
        <v>13751.06</v>
      </c>
      <c r="Q109" s="57">
        <v>12359.09</v>
      </c>
      <c r="R109" s="57">
        <v>13049.52</v>
      </c>
      <c r="S109" s="57">
        <v>12507.15</v>
      </c>
      <c r="T109" s="57">
        <v>12106.83</v>
      </c>
      <c r="U109" s="57">
        <v>11282.83</v>
      </c>
      <c r="V109" s="57">
        <v>12071.93</v>
      </c>
      <c r="W109" s="57">
        <v>11417.7</v>
      </c>
      <c r="X109" s="57">
        <v>12055.06</v>
      </c>
      <c r="Y109" s="57">
        <v>11845.45</v>
      </c>
      <c r="Z109" s="57">
        <v>10811.39</v>
      </c>
      <c r="AA109" s="57">
        <v>11424.86</v>
      </c>
      <c r="AB109" s="57">
        <v>20358.12</v>
      </c>
    </row>
    <row r="110" spans="1:28" ht="15" customHeight="1" x14ac:dyDescent="0.3">
      <c r="A110" s="63" t="s">
        <v>95</v>
      </c>
      <c r="B110" s="5" t="s">
        <v>47</v>
      </c>
      <c r="C110" s="56">
        <v>14239.3</v>
      </c>
      <c r="D110" s="57">
        <v>12690.01</v>
      </c>
      <c r="E110" s="57">
        <v>11677.26</v>
      </c>
      <c r="F110" s="57">
        <v>13768.45</v>
      </c>
      <c r="G110" s="57">
        <v>15147.68</v>
      </c>
      <c r="H110" s="57">
        <v>11878.92</v>
      </c>
      <c r="I110" s="57">
        <v>12314.87</v>
      </c>
      <c r="J110" s="57">
        <v>14043.87</v>
      </c>
      <c r="K110" s="57">
        <v>12369.39</v>
      </c>
      <c r="L110" s="57">
        <v>14678.33</v>
      </c>
      <c r="M110" s="57">
        <v>11558.9</v>
      </c>
      <c r="N110" s="57">
        <v>12541.12</v>
      </c>
      <c r="O110" s="57">
        <v>13018.47</v>
      </c>
      <c r="P110" s="57">
        <v>14143.65</v>
      </c>
      <c r="Q110" s="57">
        <v>12256.9</v>
      </c>
      <c r="R110" s="57">
        <v>13293.13</v>
      </c>
      <c r="S110" s="57">
        <v>13217.66</v>
      </c>
      <c r="T110" s="57">
        <v>11966.1</v>
      </c>
      <c r="U110" s="57">
        <v>11532.49</v>
      </c>
      <c r="V110" s="57">
        <v>12626.7</v>
      </c>
      <c r="W110" s="57">
        <v>11512.05</v>
      </c>
      <c r="X110" s="57">
        <v>12468.67</v>
      </c>
      <c r="Y110" s="57">
        <v>11892.17</v>
      </c>
      <c r="Z110" s="57">
        <v>10976.16</v>
      </c>
      <c r="AA110" s="57">
        <v>11497.46</v>
      </c>
      <c r="AB110" s="57">
        <v>20657.79</v>
      </c>
    </row>
    <row r="111" spans="1:28" ht="15" customHeight="1" x14ac:dyDescent="0.3">
      <c r="A111" s="63" t="s">
        <v>96</v>
      </c>
      <c r="B111" s="5" t="s">
        <v>47</v>
      </c>
      <c r="C111" s="56">
        <v>14044.81</v>
      </c>
      <c r="D111" s="57">
        <v>13054.47</v>
      </c>
      <c r="E111" s="57">
        <v>11516.8</v>
      </c>
      <c r="F111" s="57">
        <v>13730.43</v>
      </c>
      <c r="G111" s="57">
        <v>14791.01</v>
      </c>
      <c r="H111" s="57">
        <v>11679.43</v>
      </c>
      <c r="I111" s="57">
        <v>12057.58</v>
      </c>
      <c r="J111" s="57">
        <v>13486.17</v>
      </c>
      <c r="K111" s="57">
        <v>11911.22</v>
      </c>
      <c r="L111" s="57">
        <v>14553.94</v>
      </c>
      <c r="M111" s="57">
        <v>11457.11</v>
      </c>
      <c r="N111" s="57">
        <v>12097.22</v>
      </c>
      <c r="O111" s="57">
        <v>12548.6</v>
      </c>
      <c r="P111" s="57">
        <v>13591.94</v>
      </c>
      <c r="Q111" s="57">
        <v>12244.63</v>
      </c>
      <c r="R111" s="57">
        <v>13396.81</v>
      </c>
      <c r="S111" s="57">
        <v>12440.37</v>
      </c>
      <c r="T111" s="57">
        <v>12004.97</v>
      </c>
      <c r="U111" s="57">
        <v>11615.46</v>
      </c>
      <c r="V111" s="57">
        <v>12122.41</v>
      </c>
      <c r="W111" s="57">
        <v>11470.84</v>
      </c>
      <c r="X111" s="57">
        <v>12222.87</v>
      </c>
      <c r="Y111" s="57">
        <v>12275.56</v>
      </c>
      <c r="Z111" s="57">
        <v>10878.45</v>
      </c>
      <c r="AA111" s="57">
        <v>11533.91</v>
      </c>
      <c r="AB111" s="57">
        <v>20481.39</v>
      </c>
    </row>
    <row r="112" spans="1:28" ht="15" customHeight="1" x14ac:dyDescent="0.3">
      <c r="A112" s="63" t="s">
        <v>97</v>
      </c>
      <c r="B112" s="5" t="s">
        <v>47</v>
      </c>
      <c r="C112" s="56">
        <v>14282.18</v>
      </c>
      <c r="D112" s="57">
        <v>13058.21</v>
      </c>
      <c r="E112" s="57">
        <v>11597.19</v>
      </c>
      <c r="F112" s="57">
        <v>13853.03</v>
      </c>
      <c r="G112" s="57">
        <v>14809.31</v>
      </c>
      <c r="H112" s="57">
        <v>11942.22</v>
      </c>
      <c r="I112" s="57">
        <v>12466.7</v>
      </c>
      <c r="J112" s="57">
        <v>13759.69</v>
      </c>
      <c r="K112" s="57">
        <v>11904.52</v>
      </c>
      <c r="L112" s="57">
        <v>14754.41</v>
      </c>
      <c r="M112" s="57">
        <v>11449.74</v>
      </c>
      <c r="N112" s="57">
        <v>12266.08</v>
      </c>
      <c r="O112" s="57">
        <v>12740.02</v>
      </c>
      <c r="P112" s="57">
        <v>13568.08</v>
      </c>
      <c r="Q112" s="57">
        <v>12484.83</v>
      </c>
      <c r="R112" s="57">
        <v>13283.95</v>
      </c>
      <c r="S112" s="57">
        <v>12599.51</v>
      </c>
      <c r="T112" s="57">
        <v>12326.12</v>
      </c>
      <c r="U112" s="57">
        <v>12223.76</v>
      </c>
      <c r="V112" s="57">
        <v>12391.93</v>
      </c>
      <c r="W112" s="57">
        <v>11314.2</v>
      </c>
      <c r="X112" s="57">
        <v>12513.43</v>
      </c>
      <c r="Y112" s="57">
        <v>12186.28</v>
      </c>
      <c r="Z112" s="57">
        <v>11340.46</v>
      </c>
      <c r="AA112" s="57">
        <v>11628.18</v>
      </c>
      <c r="AB112" s="57">
        <v>21143.86</v>
      </c>
    </row>
    <row r="113" spans="1:28" ht="15" customHeight="1" x14ac:dyDescent="0.3">
      <c r="A113" s="63" t="s">
        <v>98</v>
      </c>
      <c r="B113" s="5" t="s">
        <v>47</v>
      </c>
      <c r="C113" s="56">
        <v>17453.23</v>
      </c>
      <c r="D113" s="57">
        <v>15472.45</v>
      </c>
      <c r="E113" s="57">
        <v>14568.23</v>
      </c>
      <c r="F113" s="57">
        <v>15790.59</v>
      </c>
      <c r="G113" s="57">
        <v>17191.189999999999</v>
      </c>
      <c r="H113" s="57">
        <v>14620.65</v>
      </c>
      <c r="I113" s="57">
        <v>15775.87</v>
      </c>
      <c r="J113" s="57">
        <v>16866.689999999999</v>
      </c>
      <c r="K113" s="57">
        <v>13987.82</v>
      </c>
      <c r="L113" s="57">
        <v>17409.28</v>
      </c>
      <c r="M113" s="57">
        <v>13331.27</v>
      </c>
      <c r="N113" s="57">
        <v>15783.25</v>
      </c>
      <c r="O113" s="57">
        <v>15262.13</v>
      </c>
      <c r="P113" s="57">
        <v>18413.740000000002</v>
      </c>
      <c r="Q113" s="57">
        <v>15378.57</v>
      </c>
      <c r="R113" s="57">
        <v>15989.57</v>
      </c>
      <c r="S113" s="57">
        <v>17202.009999999998</v>
      </c>
      <c r="T113" s="57">
        <v>14601.8</v>
      </c>
      <c r="U113" s="57">
        <v>14383.58</v>
      </c>
      <c r="V113" s="57">
        <v>14842.91</v>
      </c>
      <c r="W113" s="57">
        <v>14252.95</v>
      </c>
      <c r="X113" s="57">
        <v>16193.5</v>
      </c>
      <c r="Y113" s="57">
        <v>14420.59</v>
      </c>
      <c r="Z113" s="57">
        <v>14323.4</v>
      </c>
      <c r="AA113" s="57">
        <v>13536.71</v>
      </c>
      <c r="AB113" s="57">
        <v>26759.06</v>
      </c>
    </row>
    <row r="114" spans="1:28" ht="37.799999999999997" x14ac:dyDescent="0.3">
      <c r="A114" s="60"/>
      <c r="B114" s="61"/>
      <c r="C114" s="6" t="s">
        <v>126</v>
      </c>
      <c r="D114" s="7" t="s">
        <v>127</v>
      </c>
      <c r="E114" s="7" t="s">
        <v>128</v>
      </c>
      <c r="F114" s="7" t="s">
        <v>129</v>
      </c>
      <c r="G114" s="7" t="s">
        <v>130</v>
      </c>
      <c r="H114" s="7" t="s">
        <v>131</v>
      </c>
      <c r="I114" s="7" t="s">
        <v>132</v>
      </c>
      <c r="J114" s="7" t="s">
        <v>133</v>
      </c>
      <c r="K114" s="7" t="s">
        <v>134</v>
      </c>
      <c r="L114" s="7" t="s">
        <v>135</v>
      </c>
      <c r="M114" s="7" t="s">
        <v>136</v>
      </c>
      <c r="N114" s="7" t="s">
        <v>137</v>
      </c>
      <c r="O114" s="7" t="s">
        <v>138</v>
      </c>
      <c r="P114" s="7" t="s">
        <v>139</v>
      </c>
      <c r="Q114" s="7" t="s">
        <v>140</v>
      </c>
      <c r="R114" s="7" t="s">
        <v>141</v>
      </c>
      <c r="S114" s="7" t="s">
        <v>142</v>
      </c>
      <c r="T114" s="7" t="s">
        <v>143</v>
      </c>
      <c r="U114" s="7" t="s">
        <v>144</v>
      </c>
      <c r="V114" s="7" t="s">
        <v>145</v>
      </c>
      <c r="W114" s="7" t="s">
        <v>146</v>
      </c>
      <c r="X114" s="7" t="s">
        <v>147</v>
      </c>
      <c r="Y114" s="7" t="s">
        <v>148</v>
      </c>
      <c r="Z114" s="7" t="s">
        <v>149</v>
      </c>
      <c r="AA114" s="7" t="s">
        <v>150</v>
      </c>
      <c r="AB114" s="7" t="s">
        <v>151</v>
      </c>
    </row>
  </sheetData>
  <mergeCells count="48">
    <mergeCell ref="A1:N1"/>
    <mergeCell ref="A2:N2"/>
    <mergeCell ref="A4:N4"/>
    <mergeCell ref="A36:N36"/>
    <mergeCell ref="K5:M5"/>
    <mergeCell ref="K6:K7"/>
    <mergeCell ref="L6:M6"/>
    <mergeCell ref="A5:A7"/>
    <mergeCell ref="C6:D6"/>
    <mergeCell ref="B5:D5"/>
    <mergeCell ref="F6:G6"/>
    <mergeCell ref="E5:G5"/>
    <mergeCell ref="B6:B7"/>
    <mergeCell ref="E6:E7"/>
    <mergeCell ref="H6:H7"/>
    <mergeCell ref="H5:J5"/>
    <mergeCell ref="A40:C40"/>
    <mergeCell ref="A41:A43"/>
    <mergeCell ref="B41:C41"/>
    <mergeCell ref="B42:B43"/>
    <mergeCell ref="I6:J6"/>
    <mergeCell ref="A37:N37"/>
    <mergeCell ref="N5:N7"/>
    <mergeCell ref="A44:A46"/>
    <mergeCell ref="B44:C44"/>
    <mergeCell ref="B45:B46"/>
    <mergeCell ref="A47:A49"/>
    <mergeCell ref="B47:C47"/>
    <mergeCell ref="B48:B49"/>
    <mergeCell ref="A50:A52"/>
    <mergeCell ref="B50:C50"/>
    <mergeCell ref="B51:B52"/>
    <mergeCell ref="A53:C53"/>
    <mergeCell ref="A57:B57"/>
    <mergeCell ref="A58:A59"/>
    <mergeCell ref="A60:A61"/>
    <mergeCell ref="A62:A63"/>
    <mergeCell ref="A64:A65"/>
    <mergeCell ref="A66:A67"/>
    <mergeCell ref="A68:A69"/>
    <mergeCell ref="A70:A71"/>
    <mergeCell ref="A72:A73"/>
    <mergeCell ref="A101:B101"/>
    <mergeCell ref="A74:A75"/>
    <mergeCell ref="A76:A77"/>
    <mergeCell ref="A78:A79"/>
    <mergeCell ref="A80:A81"/>
    <mergeCell ref="A82:B8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5"/>
  <sheetViews>
    <sheetView topLeftCell="A7" workbookViewId="0">
      <selection activeCell="B24" sqref="B24:Y35"/>
    </sheetView>
  </sheetViews>
  <sheetFormatPr defaultColWidth="9.109375" defaultRowHeight="14.4" x14ac:dyDescent="0.3"/>
  <cols>
    <col min="1" max="1" width="15.6640625" style="3" bestFit="1" customWidth="1"/>
    <col min="2" max="2" width="9.5546875" style="3" bestFit="1" customWidth="1"/>
    <col min="3" max="16384" width="9.109375" style="3"/>
  </cols>
  <sheetData>
    <row r="1" spans="1:25" s="2" customFormat="1" ht="172.8" x14ac:dyDescent="0.3">
      <c r="A1" s="2" t="s">
        <v>0</v>
      </c>
      <c r="B1" s="2" t="s">
        <v>49</v>
      </c>
      <c r="C1" s="2" t="s">
        <v>50</v>
      </c>
      <c r="D1" s="2" t="s">
        <v>53</v>
      </c>
      <c r="E1" s="2" t="s">
        <v>54</v>
      </c>
      <c r="F1" s="2" t="s">
        <v>55</v>
      </c>
      <c r="G1" s="2" t="s">
        <v>56</v>
      </c>
      <c r="H1" s="2" t="s">
        <v>57</v>
      </c>
      <c r="I1" s="2" t="s">
        <v>58</v>
      </c>
      <c r="J1" s="2" t="s">
        <v>59</v>
      </c>
      <c r="K1" s="2" t="s">
        <v>60</v>
      </c>
      <c r="L1" s="2" t="s">
        <v>61</v>
      </c>
      <c r="M1" s="2" t="s">
        <v>62</v>
      </c>
      <c r="N1" s="2" t="s">
        <v>63</v>
      </c>
      <c r="O1" s="2" t="s">
        <v>64</v>
      </c>
      <c r="P1" s="2" t="s">
        <v>65</v>
      </c>
      <c r="Q1" s="2" t="s">
        <v>66</v>
      </c>
      <c r="R1" s="2" t="s">
        <v>69</v>
      </c>
      <c r="S1" s="2" t="s">
        <v>70</v>
      </c>
      <c r="T1" s="2" t="s">
        <v>71</v>
      </c>
      <c r="U1" s="2" t="s">
        <v>72</v>
      </c>
      <c r="V1" s="2" t="s">
        <v>75</v>
      </c>
      <c r="W1" s="2" t="s">
        <v>76</v>
      </c>
      <c r="X1" s="2" t="s">
        <v>78</v>
      </c>
      <c r="Y1" s="2" t="s">
        <v>79</v>
      </c>
    </row>
    <row r="2" spans="1:25" x14ac:dyDescent="0.3">
      <c r="A2" s="3" t="s">
        <v>26</v>
      </c>
      <c r="B2" s="3">
        <f>B3-182.15*B6/100</f>
        <v>11520.1427</v>
      </c>
      <c r="C2" s="3">
        <f>C3-182.15*C5/B5*B6/100</f>
        <v>9046.8184958255752</v>
      </c>
      <c r="D2" s="3">
        <f t="shared" ref="D2:Y2" si="0">D3-182.15*D5/C5*C6/100</f>
        <v>11215.284747733076</v>
      </c>
      <c r="E2" s="3">
        <f t="shared" si="0"/>
        <v>9160.4425945440453</v>
      </c>
      <c r="F2" s="3">
        <f t="shared" si="0"/>
        <v>11208.832901584334</v>
      </c>
      <c r="G2" s="3">
        <f t="shared" si="0"/>
        <v>10252.275333800115</v>
      </c>
      <c r="H2" s="3">
        <f t="shared" si="0"/>
        <v>10781.56611068394</v>
      </c>
      <c r="I2" s="3">
        <f t="shared" si="0"/>
        <v>13002.987870554103</v>
      </c>
      <c r="J2" s="3">
        <f t="shared" si="0"/>
        <v>17110.199590109893</v>
      </c>
      <c r="K2" s="3">
        <f t="shared" si="0"/>
        <v>11363.885939353109</v>
      </c>
      <c r="L2" s="3">
        <f t="shared" si="0"/>
        <v>7096.555137633477</v>
      </c>
      <c r="M2" s="3">
        <f t="shared" si="0"/>
        <v>7017.1148344903077</v>
      </c>
      <c r="N2" s="3">
        <f t="shared" si="0"/>
        <v>19276.131203577148</v>
      </c>
      <c r="O2" s="3">
        <f t="shared" si="0"/>
        <v>20315.127659238162</v>
      </c>
      <c r="P2" s="3">
        <f t="shared" si="0"/>
        <v>9761.8784800017602</v>
      </c>
      <c r="Q2" s="3">
        <f t="shared" si="0"/>
        <v>15185.427161470721</v>
      </c>
      <c r="R2" s="3">
        <f t="shared" si="0"/>
        <v>10470.608227637173</v>
      </c>
      <c r="S2" s="3">
        <f t="shared" si="0"/>
        <v>15079.408527114689</v>
      </c>
      <c r="T2" s="3">
        <f t="shared" si="0"/>
        <v>10584.55273689485</v>
      </c>
      <c r="U2" s="3">
        <f t="shared" si="0"/>
        <v>10715.852669626893</v>
      </c>
      <c r="V2" s="3">
        <f t="shared" si="0"/>
        <v>9543.0960021768824</v>
      </c>
      <c r="W2" s="3">
        <f t="shared" si="0"/>
        <v>9515.0233417026557</v>
      </c>
      <c r="X2" s="3">
        <f t="shared" si="0"/>
        <v>9017.2779777254182</v>
      </c>
      <c r="Y2" s="3">
        <f t="shared" si="0"/>
        <v>11414.009987768355</v>
      </c>
    </row>
    <row r="3" spans="1:25" x14ac:dyDescent="0.3">
      <c r="A3" s="3" t="s">
        <v>25</v>
      </c>
      <c r="B3" s="3">
        <f>B5</f>
        <v>11669.87</v>
      </c>
      <c r="C3" s="3">
        <f t="shared" ref="C3:Y3" si="1">C5</f>
        <v>9164.4</v>
      </c>
      <c r="D3" s="3">
        <f t="shared" si="1"/>
        <v>11417.25</v>
      </c>
      <c r="E3" s="3">
        <f t="shared" si="1"/>
        <v>9270.7800000000007</v>
      </c>
      <c r="F3" s="3">
        <f t="shared" si="1"/>
        <v>11418.6</v>
      </c>
      <c r="G3" s="3">
        <f t="shared" si="1"/>
        <v>10387.32</v>
      </c>
      <c r="H3" s="3">
        <f t="shared" si="1"/>
        <v>10932.83</v>
      </c>
      <c r="I3" s="3">
        <f t="shared" si="1"/>
        <v>13209.87</v>
      </c>
      <c r="J3" s="3">
        <f t="shared" si="1"/>
        <v>17356.71</v>
      </c>
      <c r="K3" s="3">
        <f t="shared" si="1"/>
        <v>11441.09</v>
      </c>
      <c r="L3" s="3">
        <f t="shared" si="1"/>
        <v>7189.73</v>
      </c>
      <c r="M3" s="3">
        <f t="shared" si="1"/>
        <v>7138.65</v>
      </c>
      <c r="N3" s="3">
        <f t="shared" si="1"/>
        <v>19723.02</v>
      </c>
      <c r="O3" s="3">
        <f t="shared" si="1"/>
        <v>20454.349999999999</v>
      </c>
      <c r="P3" s="3">
        <f t="shared" si="1"/>
        <v>9821.44</v>
      </c>
      <c r="Q3" s="3">
        <f t="shared" si="1"/>
        <v>15456.9</v>
      </c>
      <c r="R3" s="3">
        <f t="shared" si="1"/>
        <v>10565.86</v>
      </c>
      <c r="S3" s="3">
        <f t="shared" si="1"/>
        <v>15343.93</v>
      </c>
      <c r="T3" s="3">
        <f t="shared" si="1"/>
        <v>10699.63</v>
      </c>
      <c r="U3" s="3">
        <f t="shared" si="1"/>
        <v>10895.4</v>
      </c>
      <c r="V3" s="3">
        <f t="shared" si="1"/>
        <v>9680.99</v>
      </c>
      <c r="W3" s="3">
        <f t="shared" si="1"/>
        <v>9634.2999999999993</v>
      </c>
      <c r="X3" s="3">
        <f t="shared" si="1"/>
        <v>9155.76</v>
      </c>
      <c r="Y3" s="3">
        <f t="shared" si="1"/>
        <v>11624.46</v>
      </c>
    </row>
    <row r="4" spans="1:25" x14ac:dyDescent="0.3">
      <c r="A4" s="3" t="s">
        <v>27</v>
      </c>
      <c r="B4" s="3">
        <f>B3+182.15*B6/100</f>
        <v>11819.597300000001</v>
      </c>
      <c r="C4" s="3">
        <f>C3+182.15*C5/B5*B6/100</f>
        <v>9281.9815041744241</v>
      </c>
      <c r="D4" s="3">
        <f t="shared" ref="D4:Y4" si="2">D3+182.15*D5/C5*C6/100</f>
        <v>11619.215252266924</v>
      </c>
      <c r="E4" s="3">
        <f t="shared" si="2"/>
        <v>9381.117405455956</v>
      </c>
      <c r="F4" s="3">
        <f t="shared" si="2"/>
        <v>11628.367098415667</v>
      </c>
      <c r="G4" s="3">
        <f t="shared" si="2"/>
        <v>10522.364666199885</v>
      </c>
      <c r="H4" s="3">
        <f t="shared" si="2"/>
        <v>11084.09388931606</v>
      </c>
      <c r="I4" s="3">
        <f t="shared" si="2"/>
        <v>13416.752129445898</v>
      </c>
      <c r="J4" s="3">
        <f t="shared" si="2"/>
        <v>17603.220409890106</v>
      </c>
      <c r="K4" s="3">
        <f t="shared" si="2"/>
        <v>11518.294060646891</v>
      </c>
      <c r="L4" s="3">
        <f t="shared" si="2"/>
        <v>7282.9048623665221</v>
      </c>
      <c r="M4" s="3">
        <f t="shared" si="2"/>
        <v>7260.1851655096916</v>
      </c>
      <c r="N4" s="3">
        <f t="shared" si="2"/>
        <v>20169.908796422853</v>
      </c>
      <c r="O4" s="3">
        <f t="shared" si="2"/>
        <v>20593.572340761835</v>
      </c>
      <c r="P4" s="3">
        <f t="shared" si="2"/>
        <v>9881.0015199982408</v>
      </c>
      <c r="Q4" s="3">
        <f t="shared" si="2"/>
        <v>15728.372838529278</v>
      </c>
      <c r="R4" s="3">
        <f t="shared" si="2"/>
        <v>10661.111772362829</v>
      </c>
      <c r="S4" s="3">
        <f t="shared" si="2"/>
        <v>15608.451472885312</v>
      </c>
      <c r="T4" s="3">
        <f t="shared" si="2"/>
        <v>10814.707263105149</v>
      </c>
      <c r="U4" s="3">
        <f t="shared" si="2"/>
        <v>11074.947330373107</v>
      </c>
      <c r="V4" s="3">
        <f t="shared" si="2"/>
        <v>9818.8839978231172</v>
      </c>
      <c r="W4" s="3">
        <f t="shared" si="2"/>
        <v>9753.5766582973429</v>
      </c>
      <c r="X4" s="3">
        <f t="shared" si="2"/>
        <v>9294.2420222745823</v>
      </c>
      <c r="Y4" s="3">
        <f t="shared" si="2"/>
        <v>11834.910012231643</v>
      </c>
    </row>
    <row r="5" spans="1:25" s="4" customFormat="1" x14ac:dyDescent="0.3">
      <c r="A5" s="4" t="s">
        <v>82</v>
      </c>
      <c r="B5" s="4">
        <v>11669.87</v>
      </c>
      <c r="C5" s="4">
        <v>9164.4</v>
      </c>
      <c r="D5" s="4">
        <v>11417.25</v>
      </c>
      <c r="E5" s="4">
        <v>9270.7800000000007</v>
      </c>
      <c r="F5" s="4">
        <v>11418.6</v>
      </c>
      <c r="G5" s="4">
        <v>10387.32</v>
      </c>
      <c r="H5" s="4">
        <v>10932.83</v>
      </c>
      <c r="I5" s="4">
        <v>13209.87</v>
      </c>
      <c r="J5" s="4">
        <v>17356.71</v>
      </c>
      <c r="K5" s="4">
        <v>11441.09</v>
      </c>
      <c r="L5" s="4">
        <v>7189.73</v>
      </c>
      <c r="M5" s="4">
        <v>7138.65</v>
      </c>
      <c r="N5" s="4">
        <v>19723.02</v>
      </c>
      <c r="O5" s="4">
        <v>20454.349999999999</v>
      </c>
      <c r="P5" s="4">
        <v>9821.44</v>
      </c>
      <c r="Q5" s="4">
        <v>15456.9</v>
      </c>
      <c r="R5" s="4">
        <v>10565.86</v>
      </c>
      <c r="S5" s="4">
        <v>15343.93</v>
      </c>
      <c r="T5" s="4">
        <v>10699.63</v>
      </c>
      <c r="U5" s="4">
        <v>10895.4</v>
      </c>
      <c r="V5" s="4">
        <v>9680.99</v>
      </c>
      <c r="W5" s="4">
        <v>9634.2999999999993</v>
      </c>
      <c r="X5" s="4">
        <v>9155.76</v>
      </c>
      <c r="Y5" s="4">
        <v>11624.46</v>
      </c>
    </row>
    <row r="6" spans="1:25" s="4" customFormat="1" x14ac:dyDescent="0.3">
      <c r="B6" s="4">
        <v>82.2</v>
      </c>
      <c r="C6" s="4">
        <v>89</v>
      </c>
      <c r="D6" s="4">
        <v>74.599999999999994</v>
      </c>
      <c r="E6" s="4">
        <v>93.5</v>
      </c>
      <c r="F6" s="4">
        <v>81.5</v>
      </c>
      <c r="G6" s="4">
        <v>78.900000000000006</v>
      </c>
      <c r="H6" s="4">
        <v>94</v>
      </c>
      <c r="I6" s="4">
        <v>103</v>
      </c>
      <c r="J6" s="4">
        <v>64.3</v>
      </c>
      <c r="K6" s="4">
        <v>81.400000000000006</v>
      </c>
      <c r="L6" s="4">
        <v>67.2</v>
      </c>
      <c r="M6" s="4">
        <v>88.8</v>
      </c>
      <c r="N6" s="4">
        <v>73.7</v>
      </c>
      <c r="O6" s="4">
        <v>68.099999999999994</v>
      </c>
      <c r="P6" s="4">
        <v>94.7</v>
      </c>
      <c r="Q6" s="4">
        <v>76.5</v>
      </c>
      <c r="R6" s="4">
        <v>100</v>
      </c>
      <c r="S6" s="4">
        <v>90.6</v>
      </c>
      <c r="T6" s="4">
        <v>96.8</v>
      </c>
      <c r="U6" s="4">
        <v>85.2</v>
      </c>
      <c r="V6" s="4">
        <v>65.8</v>
      </c>
      <c r="W6" s="4">
        <v>80</v>
      </c>
      <c r="X6" s="4">
        <v>91</v>
      </c>
      <c r="Y6" s="4">
        <v>91.5</v>
      </c>
    </row>
    <row r="7" spans="1:25" x14ac:dyDescent="0.3">
      <c r="A7" s="3" t="s">
        <v>28</v>
      </c>
      <c r="B7" s="3">
        <f>B8-176.84*B11/100</f>
        <v>12406.86016</v>
      </c>
      <c r="C7" s="3">
        <f>C8-176.84*C10/B10*B11/100</f>
        <v>10075.25092382569</v>
      </c>
      <c r="D7" s="3">
        <f t="shared" ref="D7:Y7" si="3">D8-176.84*D10/C10*C11/100</f>
        <v>11788.288594011265</v>
      </c>
      <c r="E7" s="3">
        <f t="shared" si="3"/>
        <v>9699.8208105868853</v>
      </c>
      <c r="F7" s="3">
        <f t="shared" si="3"/>
        <v>11544.89591337461</v>
      </c>
      <c r="G7" s="3">
        <f t="shared" si="3"/>
        <v>10890.152365146199</v>
      </c>
      <c r="H7" s="3">
        <f t="shared" si="3"/>
        <v>11718.737959822831</v>
      </c>
      <c r="I7" s="3">
        <f t="shared" si="3"/>
        <v>14434.409920620095</v>
      </c>
      <c r="J7" s="3">
        <f t="shared" si="3"/>
        <v>17500.811468399916</v>
      </c>
      <c r="K7" s="3">
        <f t="shared" si="3"/>
        <v>11960.407745874971</v>
      </c>
      <c r="L7" s="3">
        <f t="shared" si="3"/>
        <v>7398.4824982635428</v>
      </c>
      <c r="M7" s="3">
        <f t="shared" si="3"/>
        <v>7812.5604424240319</v>
      </c>
      <c r="N7" s="3">
        <f t="shared" si="3"/>
        <v>21707.957315986743</v>
      </c>
      <c r="O7" s="3">
        <f t="shared" si="3"/>
        <v>19707.044066707371</v>
      </c>
      <c r="P7" s="3">
        <f t="shared" si="3"/>
        <v>10312.282161560051</v>
      </c>
      <c r="Q7" s="3">
        <f t="shared" si="3"/>
        <v>17142.553587564769</v>
      </c>
      <c r="R7" s="3">
        <f t="shared" si="3"/>
        <v>10833.179672976723</v>
      </c>
      <c r="S7" s="3">
        <f t="shared" si="3"/>
        <v>17306.077971348488</v>
      </c>
      <c r="T7" s="3">
        <f t="shared" si="3"/>
        <v>11994.422881092873</v>
      </c>
      <c r="U7" s="3">
        <f t="shared" si="3"/>
        <v>11279.344046718967</v>
      </c>
      <c r="V7" s="3">
        <f t="shared" si="3"/>
        <v>10131.650399189884</v>
      </c>
      <c r="W7" s="3">
        <f t="shared" si="3"/>
        <v>10283.404296076102</v>
      </c>
      <c r="X7" s="3">
        <f t="shared" si="3"/>
        <v>9787.0861427028049</v>
      </c>
      <c r="Y7" s="3">
        <f t="shared" si="3"/>
        <v>12321.01687671909</v>
      </c>
    </row>
    <row r="8" spans="1:25" x14ac:dyDescent="0.3">
      <c r="A8" s="3" t="s">
        <v>29</v>
      </c>
      <c r="B8" s="3">
        <f>B10</f>
        <v>12552.93</v>
      </c>
      <c r="C8" s="3">
        <f t="shared" ref="C8:Y8" si="4">C10</f>
        <v>10193.870000000001</v>
      </c>
      <c r="D8" s="3">
        <f t="shared" si="4"/>
        <v>11953.77</v>
      </c>
      <c r="E8" s="3">
        <f t="shared" si="4"/>
        <v>9808.2099999999991</v>
      </c>
      <c r="F8" s="3">
        <f t="shared" si="4"/>
        <v>11727.8</v>
      </c>
      <c r="G8" s="3">
        <f t="shared" si="4"/>
        <v>11024.47</v>
      </c>
      <c r="H8" s="3">
        <f t="shared" si="4"/>
        <v>11865.29</v>
      </c>
      <c r="I8" s="3">
        <f t="shared" si="4"/>
        <v>14634.86</v>
      </c>
      <c r="J8" s="3">
        <f t="shared" si="4"/>
        <v>17709.669999999998</v>
      </c>
      <c r="K8" s="3">
        <f t="shared" si="4"/>
        <v>12023.56</v>
      </c>
      <c r="L8" s="3">
        <f t="shared" si="4"/>
        <v>7488.02</v>
      </c>
      <c r="M8" s="3">
        <f t="shared" si="4"/>
        <v>7935.5</v>
      </c>
      <c r="N8" s="3">
        <f t="shared" si="4"/>
        <v>22142.68</v>
      </c>
      <c r="O8" s="3">
        <f t="shared" si="4"/>
        <v>19825</v>
      </c>
      <c r="P8" s="3">
        <f t="shared" si="4"/>
        <v>10375.68</v>
      </c>
      <c r="Q8" s="3">
        <f t="shared" si="4"/>
        <v>17408.400000000001</v>
      </c>
      <c r="R8" s="3">
        <f t="shared" si="4"/>
        <v>10920.82</v>
      </c>
      <c r="S8" s="3">
        <f t="shared" si="4"/>
        <v>17595.849999999999</v>
      </c>
      <c r="T8" s="3">
        <f t="shared" si="4"/>
        <v>12103.29</v>
      </c>
      <c r="U8" s="3">
        <f t="shared" si="4"/>
        <v>11441.33</v>
      </c>
      <c r="V8" s="3">
        <f t="shared" si="4"/>
        <v>10268.459999999999</v>
      </c>
      <c r="W8" s="3">
        <f t="shared" si="4"/>
        <v>10401.27</v>
      </c>
      <c r="X8" s="3">
        <f t="shared" si="4"/>
        <v>9933.34</v>
      </c>
      <c r="Y8" s="3">
        <f t="shared" si="4"/>
        <v>12518.02</v>
      </c>
    </row>
    <row r="9" spans="1:25" x14ac:dyDescent="0.3">
      <c r="A9" s="3" t="s">
        <v>30</v>
      </c>
      <c r="B9" s="3">
        <f>B8+176.84*B11/100</f>
        <v>12698.99984</v>
      </c>
      <c r="C9" s="3">
        <f>C8+176.84*C10/B10*B11/100</f>
        <v>10312.489076174312</v>
      </c>
      <c r="D9" s="3">
        <f t="shared" ref="D9:Y9" si="5">D8+176.84*D10/C10*C11/100</f>
        <v>12119.251405988736</v>
      </c>
      <c r="E9" s="3">
        <f t="shared" si="5"/>
        <v>9916.599189413113</v>
      </c>
      <c r="F9" s="3">
        <f t="shared" si="5"/>
        <v>11910.704086625388</v>
      </c>
      <c r="G9" s="3">
        <f t="shared" si="5"/>
        <v>11158.787634853799</v>
      </c>
      <c r="H9" s="3">
        <f t="shared" si="5"/>
        <v>12011.842040177171</v>
      </c>
      <c r="I9" s="3">
        <f t="shared" si="5"/>
        <v>14835.310079379906</v>
      </c>
      <c r="J9" s="3">
        <f t="shared" si="5"/>
        <v>17918.528531600081</v>
      </c>
      <c r="K9" s="3">
        <f t="shared" si="5"/>
        <v>12086.712254125028</v>
      </c>
      <c r="L9" s="3">
        <f t="shared" si="5"/>
        <v>7577.5575017364581</v>
      </c>
      <c r="M9" s="3">
        <f t="shared" si="5"/>
        <v>8058.4395575759681</v>
      </c>
      <c r="N9" s="3">
        <f t="shared" si="5"/>
        <v>22577.402684013257</v>
      </c>
      <c r="O9" s="3">
        <f t="shared" si="5"/>
        <v>19942.955933292629</v>
      </c>
      <c r="P9" s="3">
        <f t="shared" si="5"/>
        <v>10439.077838439949</v>
      </c>
      <c r="Q9" s="3">
        <f t="shared" si="5"/>
        <v>17674.246412435234</v>
      </c>
      <c r="R9" s="3">
        <f t="shared" si="5"/>
        <v>11008.460327023276</v>
      </c>
      <c r="S9" s="3">
        <f t="shared" si="5"/>
        <v>17885.622028651509</v>
      </c>
      <c r="T9" s="3">
        <f t="shared" si="5"/>
        <v>12212.157118907129</v>
      </c>
      <c r="U9" s="3">
        <f t="shared" si="5"/>
        <v>11603.315953281033</v>
      </c>
      <c r="V9" s="3">
        <f t="shared" si="5"/>
        <v>10405.269600810114</v>
      </c>
      <c r="W9" s="3">
        <f t="shared" si="5"/>
        <v>10519.135703923899</v>
      </c>
      <c r="X9" s="3">
        <f t="shared" si="5"/>
        <v>10079.593857297195</v>
      </c>
      <c r="Y9" s="3">
        <f t="shared" si="5"/>
        <v>12715.023123280911</v>
      </c>
    </row>
    <row r="10" spans="1:25" s="4" customFormat="1" x14ac:dyDescent="0.3">
      <c r="A10" s="4" t="s">
        <v>83</v>
      </c>
      <c r="B10" s="4">
        <v>12552.93</v>
      </c>
      <c r="C10" s="4">
        <v>10193.870000000001</v>
      </c>
      <c r="D10" s="4">
        <v>11953.77</v>
      </c>
      <c r="E10" s="4">
        <v>9808.2099999999991</v>
      </c>
      <c r="F10" s="4">
        <v>11727.8</v>
      </c>
      <c r="G10" s="4">
        <v>11024.47</v>
      </c>
      <c r="H10" s="4">
        <v>11865.29</v>
      </c>
      <c r="I10" s="4">
        <v>14634.86</v>
      </c>
      <c r="J10" s="4">
        <v>17709.669999999998</v>
      </c>
      <c r="K10" s="4">
        <v>12023.56</v>
      </c>
      <c r="L10" s="4">
        <v>7488.02</v>
      </c>
      <c r="M10" s="4">
        <v>7935.5</v>
      </c>
      <c r="N10" s="4">
        <v>22142.68</v>
      </c>
      <c r="O10" s="4">
        <v>19825</v>
      </c>
      <c r="P10" s="4">
        <v>10375.68</v>
      </c>
      <c r="Q10" s="4">
        <v>17408.400000000001</v>
      </c>
      <c r="R10" s="4">
        <v>10920.82</v>
      </c>
      <c r="S10" s="4">
        <v>17595.849999999999</v>
      </c>
      <c r="T10" s="4">
        <v>12103.29</v>
      </c>
      <c r="U10" s="4">
        <v>11441.33</v>
      </c>
      <c r="V10" s="4">
        <v>10268.459999999999</v>
      </c>
      <c r="W10" s="4">
        <v>10401.27</v>
      </c>
      <c r="X10" s="4">
        <v>9933.34</v>
      </c>
      <c r="Y10" s="4">
        <v>12518.02</v>
      </c>
    </row>
    <row r="11" spans="1:25" s="4" customFormat="1" x14ac:dyDescent="0.3">
      <c r="B11" s="4">
        <v>82.6</v>
      </c>
      <c r="C11" s="4">
        <v>79.8</v>
      </c>
      <c r="D11" s="4">
        <v>74.7</v>
      </c>
      <c r="E11" s="4">
        <v>86.5</v>
      </c>
      <c r="F11" s="4">
        <v>80.8</v>
      </c>
      <c r="G11" s="4">
        <v>77</v>
      </c>
      <c r="H11" s="4">
        <v>91.9</v>
      </c>
      <c r="I11" s="4">
        <v>97.6</v>
      </c>
      <c r="J11" s="4">
        <v>52.6</v>
      </c>
      <c r="K11" s="4">
        <v>81.3</v>
      </c>
      <c r="L11" s="4">
        <v>65.599999999999994</v>
      </c>
      <c r="M11" s="4">
        <v>88.1</v>
      </c>
      <c r="N11" s="4">
        <v>74.5</v>
      </c>
      <c r="O11" s="4">
        <v>68.5</v>
      </c>
      <c r="P11" s="4">
        <v>89.6</v>
      </c>
      <c r="Q11" s="4">
        <v>79</v>
      </c>
      <c r="R11" s="4">
        <v>101.7</v>
      </c>
      <c r="S11" s="4">
        <v>89.5</v>
      </c>
      <c r="T11" s="4">
        <v>96.9</v>
      </c>
      <c r="U11" s="4">
        <v>86.2</v>
      </c>
      <c r="V11" s="4">
        <v>65.8</v>
      </c>
      <c r="W11" s="4">
        <v>86.6</v>
      </c>
      <c r="X11" s="4">
        <v>88.4</v>
      </c>
      <c r="Y11" s="4">
        <v>94.2</v>
      </c>
    </row>
    <row r="12" spans="1:25" x14ac:dyDescent="0.3">
      <c r="A12" s="3" t="s">
        <v>31</v>
      </c>
      <c r="B12" s="3">
        <f>B13-190.06*B16/100</f>
        <v>12510.65242</v>
      </c>
      <c r="C12" s="3">
        <f>C13-190.06*C15/B15*B16/100</f>
        <v>10404.732729143339</v>
      </c>
      <c r="D12" s="3">
        <f t="shared" ref="D12:Y12" si="6">D13-190.06*D15/C15*C16/100</f>
        <v>12410.780955282391</v>
      </c>
      <c r="E12" s="3">
        <f t="shared" si="6"/>
        <v>10357.400676414221</v>
      </c>
      <c r="F12" s="3">
        <f t="shared" si="6"/>
        <v>12146.491312050379</v>
      </c>
      <c r="G12" s="3">
        <f t="shared" si="6"/>
        <v>12215.985332593185</v>
      </c>
      <c r="H12" s="3">
        <f t="shared" si="6"/>
        <v>13428.981425339312</v>
      </c>
      <c r="I12" s="3">
        <f t="shared" si="6"/>
        <v>14910.699399165886</v>
      </c>
      <c r="J12" s="3">
        <f t="shared" si="6"/>
        <v>20195.477484328068</v>
      </c>
      <c r="K12" s="3">
        <f t="shared" si="6"/>
        <v>13699.895169616479</v>
      </c>
      <c r="L12" s="3">
        <f t="shared" si="6"/>
        <v>7443.7034955959443</v>
      </c>
      <c r="M12" s="3">
        <f t="shared" si="6"/>
        <v>8845.8017219515878</v>
      </c>
      <c r="N12" s="3">
        <f t="shared" si="6"/>
        <v>21086.188218406307</v>
      </c>
      <c r="O12" s="3">
        <f t="shared" si="6"/>
        <v>20222.62275690095</v>
      </c>
      <c r="P12" s="3">
        <f t="shared" si="6"/>
        <v>10833.061382517153</v>
      </c>
      <c r="Q12" s="3">
        <f t="shared" si="6"/>
        <v>16907.548650812041</v>
      </c>
      <c r="R12" s="3">
        <f t="shared" si="6"/>
        <v>11395.030833703158</v>
      </c>
      <c r="S12" s="3">
        <f t="shared" si="6"/>
        <v>19101.886215915263</v>
      </c>
      <c r="T12" s="3">
        <f t="shared" si="6"/>
        <v>11280.644818819719</v>
      </c>
      <c r="U12" s="3">
        <f t="shared" si="6"/>
        <v>10409.914412696426</v>
      </c>
      <c r="V12" s="3">
        <f t="shared" si="6"/>
        <v>10548.811841086683</v>
      </c>
      <c r="W12" s="3">
        <f t="shared" si="6"/>
        <v>10583.799617555838</v>
      </c>
      <c r="X12" s="3">
        <f t="shared" si="6"/>
        <v>10478.420270289838</v>
      </c>
      <c r="Y12" s="3">
        <f t="shared" si="6"/>
        <v>13032.959781527952</v>
      </c>
    </row>
    <row r="13" spans="1:25" x14ac:dyDescent="0.3">
      <c r="A13" s="3" t="s">
        <v>32</v>
      </c>
      <c r="B13" s="3">
        <f>B15</f>
        <v>12661.37</v>
      </c>
      <c r="C13" s="3">
        <f t="shared" ref="C13:Y13" si="7">C15</f>
        <v>10530.08</v>
      </c>
      <c r="D13" s="3">
        <f t="shared" si="7"/>
        <v>12588</v>
      </c>
      <c r="E13" s="3">
        <f t="shared" si="7"/>
        <v>10475.870000000001</v>
      </c>
      <c r="F13" s="3">
        <f t="shared" si="7"/>
        <v>12335.83</v>
      </c>
      <c r="G13" s="3">
        <f t="shared" si="7"/>
        <v>12371.33</v>
      </c>
      <c r="H13" s="3">
        <f t="shared" si="7"/>
        <v>13586.15</v>
      </c>
      <c r="I13" s="3">
        <f t="shared" si="7"/>
        <v>15105.96</v>
      </c>
      <c r="J13" s="3">
        <f t="shared" si="7"/>
        <v>20447.86</v>
      </c>
      <c r="K13" s="3">
        <f t="shared" si="7"/>
        <v>13772.35</v>
      </c>
      <c r="L13" s="3">
        <f t="shared" si="7"/>
        <v>7526.59</v>
      </c>
      <c r="M13" s="3">
        <f t="shared" si="7"/>
        <v>8991.57</v>
      </c>
      <c r="N13" s="3">
        <f t="shared" si="7"/>
        <v>21507.62</v>
      </c>
      <c r="O13" s="3">
        <f t="shared" si="7"/>
        <v>20359.900000000001</v>
      </c>
      <c r="P13" s="3">
        <f t="shared" si="7"/>
        <v>10901.55</v>
      </c>
      <c r="Q13" s="3">
        <f t="shared" si="7"/>
        <v>17184.68</v>
      </c>
      <c r="R13" s="3">
        <f t="shared" si="7"/>
        <v>11495.47</v>
      </c>
      <c r="S13" s="3">
        <f t="shared" si="7"/>
        <v>19432.490000000002</v>
      </c>
      <c r="T13" s="3">
        <f t="shared" si="7"/>
        <v>11379.14</v>
      </c>
      <c r="U13" s="3">
        <f t="shared" si="7"/>
        <v>10573.09</v>
      </c>
      <c r="V13" s="3">
        <f t="shared" si="7"/>
        <v>10714.84</v>
      </c>
      <c r="W13" s="3">
        <f t="shared" si="7"/>
        <v>10701.49</v>
      </c>
      <c r="X13" s="3">
        <f t="shared" si="7"/>
        <v>10631.36</v>
      </c>
      <c r="Y13" s="3">
        <f t="shared" si="7"/>
        <v>13248.25</v>
      </c>
    </row>
    <row r="14" spans="1:25" x14ac:dyDescent="0.3">
      <c r="A14" s="3" t="s">
        <v>33</v>
      </c>
      <c r="B14" s="3">
        <f>B13+190.06*B16/100</f>
        <v>12812.087580000001</v>
      </c>
      <c r="C14" s="3">
        <f>C13+190.06*C15/B15*B16/100</f>
        <v>10655.42727085666</v>
      </c>
      <c r="D14" s="3">
        <f t="shared" ref="D14:Y14" si="8">D13+190.06*D15/C15*C16/100</f>
        <v>12765.219044717609</v>
      </c>
      <c r="E14" s="3">
        <f t="shared" si="8"/>
        <v>10594.33932358578</v>
      </c>
      <c r="F14" s="3">
        <f t="shared" si="8"/>
        <v>12525.168687949621</v>
      </c>
      <c r="G14" s="3">
        <f t="shared" si="8"/>
        <v>12526.674667406814</v>
      </c>
      <c r="H14" s="3">
        <f t="shared" si="8"/>
        <v>13743.318574660687</v>
      </c>
      <c r="I14" s="3">
        <f t="shared" si="8"/>
        <v>15301.220600834113</v>
      </c>
      <c r="J14" s="3">
        <f t="shared" si="8"/>
        <v>20700.242515671933</v>
      </c>
      <c r="K14" s="3">
        <f t="shared" si="8"/>
        <v>13844.804830383522</v>
      </c>
      <c r="L14" s="3">
        <f t="shared" si="8"/>
        <v>7609.476504404056</v>
      </c>
      <c r="M14" s="3">
        <f t="shared" si="8"/>
        <v>9137.3382780484117</v>
      </c>
      <c r="N14" s="3">
        <f t="shared" si="8"/>
        <v>21929.051781593691</v>
      </c>
      <c r="O14" s="3">
        <f t="shared" si="8"/>
        <v>20497.177243099053</v>
      </c>
      <c r="P14" s="3">
        <f t="shared" si="8"/>
        <v>10970.038617482845</v>
      </c>
      <c r="Q14" s="3">
        <f t="shared" si="8"/>
        <v>17461.811349187959</v>
      </c>
      <c r="R14" s="3">
        <f t="shared" si="8"/>
        <v>11595.90916629684</v>
      </c>
      <c r="S14" s="3">
        <f t="shared" si="8"/>
        <v>19763.09378408474</v>
      </c>
      <c r="T14" s="3">
        <f t="shared" si="8"/>
        <v>11477.63518118028</v>
      </c>
      <c r="U14" s="3">
        <f t="shared" si="8"/>
        <v>10736.265587303575</v>
      </c>
      <c r="V14" s="3">
        <f t="shared" si="8"/>
        <v>10880.868158913318</v>
      </c>
      <c r="W14" s="3">
        <f t="shared" si="8"/>
        <v>10819.180382444161</v>
      </c>
      <c r="X14" s="3">
        <f t="shared" si="8"/>
        <v>10784.299729710163</v>
      </c>
      <c r="Y14" s="3">
        <f t="shared" si="8"/>
        <v>13463.540218472048</v>
      </c>
    </row>
    <row r="15" spans="1:25" s="4" customFormat="1" x14ac:dyDescent="0.3">
      <c r="A15" s="4" t="s">
        <v>84</v>
      </c>
      <c r="B15" s="4">
        <v>12661.37</v>
      </c>
      <c r="C15" s="4">
        <v>10530.08</v>
      </c>
      <c r="D15" s="4">
        <v>12588</v>
      </c>
      <c r="E15" s="4">
        <v>10475.870000000001</v>
      </c>
      <c r="F15" s="4">
        <v>12335.83</v>
      </c>
      <c r="G15" s="4">
        <v>12371.33</v>
      </c>
      <c r="H15" s="4">
        <v>13586.15</v>
      </c>
      <c r="I15" s="4">
        <v>15105.96</v>
      </c>
      <c r="J15" s="4">
        <v>20447.86</v>
      </c>
      <c r="K15" s="4">
        <v>13772.35</v>
      </c>
      <c r="L15" s="4">
        <v>7526.59</v>
      </c>
      <c r="M15" s="4">
        <v>8991.57</v>
      </c>
      <c r="N15" s="4">
        <v>21507.62</v>
      </c>
      <c r="O15" s="4">
        <v>20359.900000000001</v>
      </c>
      <c r="P15" s="4">
        <v>10901.55</v>
      </c>
      <c r="Q15" s="4">
        <v>17184.68</v>
      </c>
      <c r="R15" s="4">
        <v>11495.47</v>
      </c>
      <c r="S15" s="4">
        <v>19432.490000000002</v>
      </c>
      <c r="T15" s="4">
        <v>11379.14</v>
      </c>
      <c r="U15" s="4">
        <v>10573.09</v>
      </c>
      <c r="V15" s="4">
        <v>10714.84</v>
      </c>
      <c r="W15" s="4">
        <v>10701.49</v>
      </c>
      <c r="X15" s="4">
        <v>10631.36</v>
      </c>
      <c r="Y15" s="4">
        <v>13248.25</v>
      </c>
    </row>
    <row r="16" spans="1:25" s="4" customFormat="1" x14ac:dyDescent="0.3">
      <c r="B16" s="4">
        <v>79.3</v>
      </c>
      <c r="C16" s="4">
        <v>78</v>
      </c>
      <c r="D16" s="4">
        <v>74.900000000000006</v>
      </c>
      <c r="E16" s="4">
        <v>84.6</v>
      </c>
      <c r="F16" s="4">
        <v>81.5</v>
      </c>
      <c r="G16" s="4">
        <v>75.3</v>
      </c>
      <c r="H16" s="4">
        <v>92.4</v>
      </c>
      <c r="I16" s="4">
        <v>98.1</v>
      </c>
      <c r="J16" s="4">
        <v>56.6</v>
      </c>
      <c r="K16" s="4">
        <v>79.8</v>
      </c>
      <c r="L16" s="4">
        <v>64.2</v>
      </c>
      <c r="M16" s="4">
        <v>92.7</v>
      </c>
      <c r="N16" s="4">
        <v>76.3</v>
      </c>
      <c r="O16" s="4">
        <v>67.3</v>
      </c>
      <c r="P16" s="4">
        <v>92.5</v>
      </c>
      <c r="Q16" s="4">
        <v>79</v>
      </c>
      <c r="R16" s="4">
        <v>102.9</v>
      </c>
      <c r="S16" s="4">
        <v>88.5</v>
      </c>
      <c r="T16" s="4">
        <v>92.4</v>
      </c>
      <c r="U16" s="4">
        <v>86.2</v>
      </c>
      <c r="V16" s="4">
        <v>62</v>
      </c>
      <c r="W16" s="4">
        <v>81</v>
      </c>
      <c r="X16" s="4">
        <v>90.9</v>
      </c>
      <c r="Y16" s="4">
        <v>91.7</v>
      </c>
    </row>
    <row r="17" spans="1:25" x14ac:dyDescent="0.3">
      <c r="A17" s="3" t="s">
        <v>34</v>
      </c>
      <c r="B17" s="3">
        <f>B18-202.02*B21/100</f>
        <v>13637.63168</v>
      </c>
      <c r="C17" s="3">
        <f>C18-202.02*C20/B20*B21/100</f>
        <v>11822.186334488526</v>
      </c>
      <c r="D17" s="3">
        <f t="shared" ref="D17:Y17" si="9">D18-202.02*D20/C20*C21/100</f>
        <v>13145.437793059844</v>
      </c>
      <c r="E17" s="3">
        <f t="shared" si="9"/>
        <v>10726.648567313143</v>
      </c>
      <c r="F17" s="3">
        <f t="shared" si="9"/>
        <v>12822.642009109759</v>
      </c>
      <c r="G17" s="3">
        <f t="shared" si="9"/>
        <v>12568.016347808189</v>
      </c>
      <c r="H17" s="3">
        <f t="shared" si="9"/>
        <v>13144.511361453135</v>
      </c>
      <c r="I17" s="3">
        <f t="shared" si="9"/>
        <v>14512.081376225566</v>
      </c>
      <c r="J17" s="3">
        <f t="shared" si="9"/>
        <v>25669.23290254761</v>
      </c>
      <c r="K17" s="3">
        <f t="shared" si="9"/>
        <v>13909.424206546786</v>
      </c>
      <c r="L17" s="3">
        <f t="shared" si="9"/>
        <v>8141.4054326030946</v>
      </c>
      <c r="M17" s="3">
        <f t="shared" si="9"/>
        <v>8564.3315921552421</v>
      </c>
      <c r="N17" s="3">
        <f t="shared" si="9"/>
        <v>23374.304420877757</v>
      </c>
      <c r="O17" s="3">
        <f t="shared" si="9"/>
        <v>22575.915723800164</v>
      </c>
      <c r="P17" s="3">
        <f t="shared" si="9"/>
        <v>11220.08984822371</v>
      </c>
      <c r="Q17" s="3">
        <f t="shared" si="9"/>
        <v>18334.447511531915</v>
      </c>
      <c r="R17" s="3">
        <f t="shared" si="9"/>
        <v>12071.425152458778</v>
      </c>
      <c r="S17" s="3">
        <f t="shared" si="9"/>
        <v>20471.09890272504</v>
      </c>
      <c r="T17" s="3">
        <f t="shared" si="9"/>
        <v>12543.428888589146</v>
      </c>
      <c r="U17" s="3">
        <f t="shared" si="9"/>
        <v>12041.870334497924</v>
      </c>
      <c r="V17" s="3">
        <f t="shared" si="9"/>
        <v>11486.686999948988</v>
      </c>
      <c r="W17" s="3">
        <f t="shared" si="9"/>
        <v>11512.859197543343</v>
      </c>
      <c r="X17" s="3">
        <f t="shared" si="9"/>
        <v>10873.417035060478</v>
      </c>
      <c r="Y17" s="3">
        <f t="shared" si="9"/>
        <v>13915.150397747386</v>
      </c>
    </row>
    <row r="18" spans="1:25" x14ac:dyDescent="0.3">
      <c r="A18" s="3" t="s">
        <v>35</v>
      </c>
      <c r="B18" s="3">
        <f>B20</f>
        <v>13802.48</v>
      </c>
      <c r="C18" s="3">
        <f t="shared" ref="C18:Y18" si="10">C20</f>
        <v>11965.09</v>
      </c>
      <c r="D18" s="3">
        <f t="shared" si="10"/>
        <v>13322.92</v>
      </c>
      <c r="E18" s="3">
        <f t="shared" si="10"/>
        <v>10850.54</v>
      </c>
      <c r="F18" s="3">
        <f t="shared" si="10"/>
        <v>13034.01</v>
      </c>
      <c r="G18" s="3">
        <f t="shared" si="10"/>
        <v>12726.41</v>
      </c>
      <c r="H18" s="3">
        <f t="shared" si="10"/>
        <v>13306.31</v>
      </c>
      <c r="I18" s="3">
        <f t="shared" si="10"/>
        <v>14716.52</v>
      </c>
      <c r="J18" s="3">
        <f t="shared" si="10"/>
        <v>26026.51</v>
      </c>
      <c r="K18" s="3">
        <f t="shared" si="10"/>
        <v>13985.85</v>
      </c>
      <c r="L18" s="3">
        <f t="shared" si="10"/>
        <v>8234.9</v>
      </c>
      <c r="M18" s="3">
        <f t="shared" si="10"/>
        <v>8713.32</v>
      </c>
      <c r="N18" s="3">
        <f t="shared" si="10"/>
        <v>23857.19</v>
      </c>
      <c r="O18" s="3">
        <f t="shared" si="10"/>
        <v>22726.02</v>
      </c>
      <c r="P18" s="3">
        <f t="shared" si="10"/>
        <v>11288.83</v>
      </c>
      <c r="Q18" s="3">
        <f t="shared" si="10"/>
        <v>18636.61</v>
      </c>
      <c r="R18" s="3">
        <f t="shared" si="10"/>
        <v>12175.16</v>
      </c>
      <c r="S18" s="3">
        <f t="shared" si="10"/>
        <v>20821.07</v>
      </c>
      <c r="T18" s="3">
        <f t="shared" si="10"/>
        <v>12651.08</v>
      </c>
      <c r="U18" s="3">
        <f t="shared" si="10"/>
        <v>12232.32</v>
      </c>
      <c r="V18" s="3">
        <f t="shared" si="10"/>
        <v>11656.09</v>
      </c>
      <c r="W18" s="3">
        <f t="shared" si="10"/>
        <v>11649.55</v>
      </c>
      <c r="X18" s="3">
        <f t="shared" si="10"/>
        <v>11037.84</v>
      </c>
      <c r="Y18" s="3">
        <f t="shared" si="10"/>
        <v>14147.15</v>
      </c>
    </row>
    <row r="19" spans="1:25" x14ac:dyDescent="0.3">
      <c r="A19" s="3" t="s">
        <v>36</v>
      </c>
      <c r="B19" s="3">
        <f>B18+202.02*B21/100</f>
        <v>13967.328319999999</v>
      </c>
      <c r="C19" s="3">
        <f>C18+202.02*C20/B20*B21/100</f>
        <v>12107.993665511474</v>
      </c>
      <c r="D19" s="3">
        <f t="shared" ref="D19:Y19" si="11">D18+202.02*D20/C20*C21/100</f>
        <v>13500.402206940156</v>
      </c>
      <c r="E19" s="3">
        <f t="shared" si="11"/>
        <v>10974.431432686859</v>
      </c>
      <c r="F19" s="3">
        <f t="shared" si="11"/>
        <v>13245.377990890242</v>
      </c>
      <c r="G19" s="3">
        <f t="shared" si="11"/>
        <v>12884.803652191811</v>
      </c>
      <c r="H19" s="3">
        <f t="shared" si="11"/>
        <v>13468.108638546864</v>
      </c>
      <c r="I19" s="3">
        <f t="shared" si="11"/>
        <v>14920.958623774435</v>
      </c>
      <c r="J19" s="3">
        <f t="shared" si="11"/>
        <v>26383.787097452387</v>
      </c>
      <c r="K19" s="3">
        <f t="shared" si="11"/>
        <v>14062.275793453215</v>
      </c>
      <c r="L19" s="3">
        <f t="shared" si="11"/>
        <v>8328.3945673969047</v>
      </c>
      <c r="M19" s="3">
        <f t="shared" si="11"/>
        <v>8862.3084078447573</v>
      </c>
      <c r="N19" s="3">
        <f t="shared" si="11"/>
        <v>24340.07557912224</v>
      </c>
      <c r="O19" s="3">
        <f t="shared" si="11"/>
        <v>22876.124276199836</v>
      </c>
      <c r="P19" s="3">
        <f t="shared" si="11"/>
        <v>11357.57015177629</v>
      </c>
      <c r="Q19" s="3">
        <f t="shared" si="11"/>
        <v>18938.772488468087</v>
      </c>
      <c r="R19" s="3">
        <f t="shared" si="11"/>
        <v>12278.894847541222</v>
      </c>
      <c r="S19" s="3">
        <f t="shared" si="11"/>
        <v>21171.04109727496</v>
      </c>
      <c r="T19" s="3">
        <f t="shared" si="11"/>
        <v>12758.731111410854</v>
      </c>
      <c r="U19" s="3">
        <f t="shared" si="11"/>
        <v>12422.769665502075</v>
      </c>
      <c r="V19" s="3">
        <f t="shared" si="11"/>
        <v>11825.493000051012</v>
      </c>
      <c r="W19" s="3">
        <f t="shared" si="11"/>
        <v>11786.240802456656</v>
      </c>
      <c r="X19" s="3">
        <f t="shared" si="11"/>
        <v>11202.262964939522</v>
      </c>
      <c r="Y19" s="3">
        <f t="shared" si="11"/>
        <v>14379.149602252613</v>
      </c>
    </row>
    <row r="20" spans="1:25" s="4" customFormat="1" x14ac:dyDescent="0.3">
      <c r="A20" s="4" t="s">
        <v>85</v>
      </c>
      <c r="B20" s="4">
        <v>13802.48</v>
      </c>
      <c r="C20" s="4">
        <v>11965.09</v>
      </c>
      <c r="D20" s="4">
        <v>13322.92</v>
      </c>
      <c r="E20" s="4">
        <v>10850.54</v>
      </c>
      <c r="F20" s="4">
        <v>13034.01</v>
      </c>
      <c r="G20" s="4">
        <v>12726.41</v>
      </c>
      <c r="H20" s="4">
        <v>13306.31</v>
      </c>
      <c r="I20" s="4">
        <v>14716.52</v>
      </c>
      <c r="J20" s="4">
        <v>26026.51</v>
      </c>
      <c r="K20" s="4">
        <v>13985.85</v>
      </c>
      <c r="L20" s="4">
        <v>8234.9</v>
      </c>
      <c r="M20" s="4">
        <v>8713.32</v>
      </c>
      <c r="N20" s="4">
        <v>23857.19</v>
      </c>
      <c r="O20" s="4">
        <v>22726.02</v>
      </c>
      <c r="P20" s="4">
        <v>11288.83</v>
      </c>
      <c r="Q20" s="4">
        <v>18636.61</v>
      </c>
      <c r="R20" s="4">
        <v>12175.16</v>
      </c>
      <c r="S20" s="4">
        <v>20821.07</v>
      </c>
      <c r="T20" s="4">
        <v>12651.08</v>
      </c>
      <c r="U20" s="4">
        <v>12232.32</v>
      </c>
      <c r="V20" s="4">
        <v>11656.09</v>
      </c>
      <c r="W20" s="4">
        <v>11649.55</v>
      </c>
      <c r="X20" s="4">
        <v>11037.84</v>
      </c>
      <c r="Y20" s="4">
        <v>14147.15</v>
      </c>
    </row>
    <row r="21" spans="1:25" x14ac:dyDescent="0.3">
      <c r="B21" s="4">
        <v>81.599999999999994</v>
      </c>
      <c r="C21" s="4">
        <v>78.900000000000006</v>
      </c>
      <c r="D21" s="4">
        <v>75.3</v>
      </c>
      <c r="E21" s="4">
        <v>87.1</v>
      </c>
      <c r="F21" s="4">
        <v>80.3</v>
      </c>
      <c r="G21" s="4">
        <v>76.599999999999994</v>
      </c>
      <c r="H21" s="4">
        <v>91.5</v>
      </c>
      <c r="I21" s="4">
        <v>100</v>
      </c>
      <c r="J21" s="4">
        <v>70.400000000000006</v>
      </c>
      <c r="K21" s="4">
        <v>78.599999999999994</v>
      </c>
      <c r="L21" s="4">
        <v>69.7</v>
      </c>
      <c r="M21" s="4">
        <v>87.3</v>
      </c>
      <c r="N21" s="4">
        <v>78</v>
      </c>
      <c r="O21" s="4">
        <v>68.5</v>
      </c>
      <c r="P21" s="4">
        <v>90.6</v>
      </c>
      <c r="Q21" s="4">
        <v>78.599999999999994</v>
      </c>
      <c r="R21" s="4">
        <v>101.3</v>
      </c>
      <c r="S21" s="4">
        <v>87.7</v>
      </c>
      <c r="T21" s="4">
        <v>97.5</v>
      </c>
      <c r="U21" s="4">
        <v>88</v>
      </c>
      <c r="V21" s="4">
        <v>67.7</v>
      </c>
      <c r="W21" s="4">
        <v>85.9</v>
      </c>
      <c r="X21" s="4">
        <v>89.6</v>
      </c>
      <c r="Y21" s="4">
        <v>100.9</v>
      </c>
    </row>
    <row r="24" spans="1:25" x14ac:dyDescent="0.3">
      <c r="A24" s="3" t="s">
        <v>26</v>
      </c>
      <c r="B24" s="3">
        <v>11520.1427</v>
      </c>
      <c r="C24" s="3">
        <v>9046.8184958255752</v>
      </c>
      <c r="D24" s="3">
        <v>11215.284747733076</v>
      </c>
      <c r="E24" s="3">
        <v>9160.4425945440453</v>
      </c>
      <c r="F24" s="3">
        <v>11208.832901584334</v>
      </c>
      <c r="G24" s="3">
        <v>10252.275333800115</v>
      </c>
      <c r="H24" s="3">
        <v>10781.56611068394</v>
      </c>
      <c r="I24" s="3">
        <v>13002.987870554103</v>
      </c>
      <c r="J24" s="3">
        <v>17110.199590109893</v>
      </c>
      <c r="K24" s="3">
        <v>11363.885939353109</v>
      </c>
      <c r="L24" s="3">
        <v>7096.555137633477</v>
      </c>
      <c r="M24" s="3">
        <v>7017.1148344903077</v>
      </c>
      <c r="N24" s="3">
        <v>19276.131203577148</v>
      </c>
      <c r="O24" s="3">
        <v>20315.127659238162</v>
      </c>
      <c r="P24" s="3">
        <v>9761.8784800017602</v>
      </c>
      <c r="Q24" s="3">
        <v>15185.427161470721</v>
      </c>
      <c r="R24" s="3">
        <v>10470.608227637173</v>
      </c>
      <c r="S24" s="3">
        <v>15079.408527114689</v>
      </c>
      <c r="T24" s="3">
        <v>10584.55273689485</v>
      </c>
      <c r="U24" s="3">
        <v>10715.852669626893</v>
      </c>
      <c r="V24" s="3">
        <v>9543.0960021768824</v>
      </c>
      <c r="W24" s="3">
        <v>9515.0233417026557</v>
      </c>
      <c r="X24" s="3">
        <v>9017.2779777254182</v>
      </c>
      <c r="Y24" s="3">
        <v>11414.009987768355</v>
      </c>
    </row>
    <row r="25" spans="1:25" x14ac:dyDescent="0.3">
      <c r="A25" s="3" t="s">
        <v>25</v>
      </c>
      <c r="B25" s="3">
        <v>11669.87</v>
      </c>
      <c r="C25" s="3">
        <v>9164.4</v>
      </c>
      <c r="D25" s="3">
        <v>11417.25</v>
      </c>
      <c r="E25" s="3">
        <v>9270.7800000000007</v>
      </c>
      <c r="F25" s="3">
        <v>11418.6</v>
      </c>
      <c r="G25" s="3">
        <v>10387.32</v>
      </c>
      <c r="H25" s="3">
        <v>10932.83</v>
      </c>
      <c r="I25" s="3">
        <v>13209.87</v>
      </c>
      <c r="J25" s="3">
        <v>17356.71</v>
      </c>
      <c r="K25" s="3">
        <v>11441.09</v>
      </c>
      <c r="L25" s="3">
        <v>7189.73</v>
      </c>
      <c r="M25" s="3">
        <v>7138.65</v>
      </c>
      <c r="N25" s="3">
        <v>19723.02</v>
      </c>
      <c r="O25" s="3">
        <v>20454.349999999999</v>
      </c>
      <c r="P25" s="3">
        <v>9821.44</v>
      </c>
      <c r="Q25" s="3">
        <v>15456.9</v>
      </c>
      <c r="R25" s="3">
        <v>10565.86</v>
      </c>
      <c r="S25" s="3">
        <v>15343.93</v>
      </c>
      <c r="T25" s="3">
        <v>10699.63</v>
      </c>
      <c r="U25" s="3">
        <v>10895.4</v>
      </c>
      <c r="V25" s="3">
        <v>9680.99</v>
      </c>
      <c r="W25" s="3">
        <v>9634.2999999999993</v>
      </c>
      <c r="X25" s="3">
        <v>9155.76</v>
      </c>
      <c r="Y25" s="3">
        <v>11624.46</v>
      </c>
    </row>
    <row r="26" spans="1:25" x14ac:dyDescent="0.3">
      <c r="A26" s="3" t="s">
        <v>27</v>
      </c>
      <c r="B26" s="3">
        <v>11819.597300000001</v>
      </c>
      <c r="C26" s="3">
        <v>9281.9815041744241</v>
      </c>
      <c r="D26" s="3">
        <v>11619.215252266924</v>
      </c>
      <c r="E26" s="3">
        <v>9381.117405455956</v>
      </c>
      <c r="F26" s="3">
        <v>11628.367098415667</v>
      </c>
      <c r="G26" s="3">
        <v>10522.364666199885</v>
      </c>
      <c r="H26" s="3">
        <v>11084.09388931606</v>
      </c>
      <c r="I26" s="3">
        <v>13416.752129445898</v>
      </c>
      <c r="J26" s="3">
        <v>17603.220409890106</v>
      </c>
      <c r="K26" s="3">
        <v>11518.294060646891</v>
      </c>
      <c r="L26" s="3">
        <v>7282.9048623665221</v>
      </c>
      <c r="M26" s="3">
        <v>7260.1851655096916</v>
      </c>
      <c r="N26" s="3">
        <v>20169.908796422853</v>
      </c>
      <c r="O26" s="3">
        <v>20593.572340761835</v>
      </c>
      <c r="P26" s="3">
        <v>9881.0015199982408</v>
      </c>
      <c r="Q26" s="3">
        <v>15728.372838529278</v>
      </c>
      <c r="R26" s="3">
        <v>10661.111772362829</v>
      </c>
      <c r="S26" s="3">
        <v>15608.451472885312</v>
      </c>
      <c r="T26" s="3">
        <v>10814.707263105149</v>
      </c>
      <c r="U26" s="3">
        <v>11074.947330373107</v>
      </c>
      <c r="V26" s="3">
        <v>9818.8839978231172</v>
      </c>
      <c r="W26" s="3">
        <v>9753.5766582973429</v>
      </c>
      <c r="X26" s="3">
        <v>9294.2420222745823</v>
      </c>
      <c r="Y26" s="3">
        <v>11834.910012231643</v>
      </c>
    </row>
    <row r="27" spans="1:25" x14ac:dyDescent="0.3">
      <c r="A27" s="3" t="s">
        <v>28</v>
      </c>
      <c r="B27" s="3">
        <v>12406.86016</v>
      </c>
      <c r="C27" s="3">
        <v>10075.25092382569</v>
      </c>
      <c r="D27" s="3">
        <v>11788.288594011265</v>
      </c>
      <c r="E27" s="3">
        <v>9699.8208105868853</v>
      </c>
      <c r="F27" s="3">
        <v>11544.89591337461</v>
      </c>
      <c r="G27" s="3">
        <v>10890.152365146199</v>
      </c>
      <c r="H27" s="3">
        <v>11718.737959822831</v>
      </c>
      <c r="I27" s="3">
        <v>14434.409920620095</v>
      </c>
      <c r="J27" s="3">
        <v>17500.811468399916</v>
      </c>
      <c r="K27" s="3">
        <v>11960.407745874971</v>
      </c>
      <c r="L27" s="3">
        <v>7398.4824982635428</v>
      </c>
      <c r="M27" s="3">
        <v>7812.5604424240319</v>
      </c>
      <c r="N27" s="3">
        <v>21707.957315986743</v>
      </c>
      <c r="O27" s="3">
        <v>19707.044066707371</v>
      </c>
      <c r="P27" s="3">
        <v>10312.282161560051</v>
      </c>
      <c r="Q27" s="3">
        <v>17142.553587564769</v>
      </c>
      <c r="R27" s="3">
        <v>10833.179672976723</v>
      </c>
      <c r="S27" s="3">
        <v>17306.077971348488</v>
      </c>
      <c r="T27" s="3">
        <v>11994.422881092873</v>
      </c>
      <c r="U27" s="3">
        <v>11279.344046718967</v>
      </c>
      <c r="V27" s="3">
        <v>10131.650399189884</v>
      </c>
      <c r="W27" s="3">
        <v>10283.404296076102</v>
      </c>
      <c r="X27" s="3">
        <v>9787.0861427028049</v>
      </c>
      <c r="Y27" s="3">
        <v>12321.01687671909</v>
      </c>
    </row>
    <row r="28" spans="1:25" x14ac:dyDescent="0.3">
      <c r="A28" s="3" t="s">
        <v>29</v>
      </c>
      <c r="B28" s="3">
        <v>12552.93</v>
      </c>
      <c r="C28" s="3">
        <v>10193.870000000001</v>
      </c>
      <c r="D28" s="3">
        <v>11953.77</v>
      </c>
      <c r="E28" s="3">
        <v>9808.2099999999991</v>
      </c>
      <c r="F28" s="3">
        <v>11727.8</v>
      </c>
      <c r="G28" s="3">
        <v>11024.47</v>
      </c>
      <c r="H28" s="3">
        <v>11865.29</v>
      </c>
      <c r="I28" s="3">
        <v>14634.86</v>
      </c>
      <c r="J28" s="3">
        <v>17709.669999999998</v>
      </c>
      <c r="K28" s="3">
        <v>12023.56</v>
      </c>
      <c r="L28" s="3">
        <v>7488.02</v>
      </c>
      <c r="M28" s="3">
        <v>7935.5</v>
      </c>
      <c r="N28" s="3">
        <v>22142.68</v>
      </c>
      <c r="O28" s="3">
        <v>19825</v>
      </c>
      <c r="P28" s="3">
        <v>10375.68</v>
      </c>
      <c r="Q28" s="3">
        <v>17408.400000000001</v>
      </c>
      <c r="R28" s="3">
        <v>10920.82</v>
      </c>
      <c r="S28" s="3">
        <v>17595.849999999999</v>
      </c>
      <c r="T28" s="3">
        <v>12103.29</v>
      </c>
      <c r="U28" s="3">
        <v>11441.33</v>
      </c>
      <c r="V28" s="3">
        <v>10268.459999999999</v>
      </c>
      <c r="W28" s="3">
        <v>10401.27</v>
      </c>
      <c r="X28" s="3">
        <v>9933.34</v>
      </c>
      <c r="Y28" s="3">
        <v>12518.02</v>
      </c>
    </row>
    <row r="29" spans="1:25" x14ac:dyDescent="0.3">
      <c r="A29" s="3" t="s">
        <v>30</v>
      </c>
      <c r="B29" s="3">
        <v>12698.99984</v>
      </c>
      <c r="C29" s="3">
        <v>10312.489076174312</v>
      </c>
      <c r="D29" s="3">
        <v>12119.251405988736</v>
      </c>
      <c r="E29" s="3">
        <v>9916.599189413113</v>
      </c>
      <c r="F29" s="3">
        <v>11910.704086625388</v>
      </c>
      <c r="G29" s="3">
        <v>11158.787634853799</v>
      </c>
      <c r="H29" s="3">
        <v>12011.842040177171</v>
      </c>
      <c r="I29" s="3">
        <v>14835.310079379906</v>
      </c>
      <c r="J29" s="3">
        <v>17918.528531600081</v>
      </c>
      <c r="K29" s="3">
        <v>12086.712254125028</v>
      </c>
      <c r="L29" s="3">
        <v>7577.5575017364581</v>
      </c>
      <c r="M29" s="3">
        <v>8058.4395575759681</v>
      </c>
      <c r="N29" s="3">
        <v>22577.402684013257</v>
      </c>
      <c r="O29" s="3">
        <v>19942.955933292629</v>
      </c>
      <c r="P29" s="3">
        <v>10439.077838439949</v>
      </c>
      <c r="Q29" s="3">
        <v>17674.246412435234</v>
      </c>
      <c r="R29" s="3">
        <v>11008.460327023276</v>
      </c>
      <c r="S29" s="3">
        <v>17885.622028651509</v>
      </c>
      <c r="T29" s="3">
        <v>12212.157118907129</v>
      </c>
      <c r="U29" s="3">
        <v>11603.315953281033</v>
      </c>
      <c r="V29" s="3">
        <v>10405.269600810114</v>
      </c>
      <c r="W29" s="3">
        <v>10519.135703923899</v>
      </c>
      <c r="X29" s="3">
        <v>10079.593857297195</v>
      </c>
      <c r="Y29" s="3">
        <v>12715.023123280911</v>
      </c>
    </row>
    <row r="30" spans="1:25" x14ac:dyDescent="0.3">
      <c r="A30" s="3" t="s">
        <v>31</v>
      </c>
      <c r="B30" s="3">
        <v>12510.65242</v>
      </c>
      <c r="C30" s="3">
        <v>10404.732729143339</v>
      </c>
      <c r="D30" s="3">
        <v>12410.780955282391</v>
      </c>
      <c r="E30" s="3">
        <v>10357.400676414221</v>
      </c>
      <c r="F30" s="3">
        <v>12146.491312050379</v>
      </c>
      <c r="G30" s="3">
        <v>12215.985332593185</v>
      </c>
      <c r="H30" s="3">
        <v>13428.981425339312</v>
      </c>
      <c r="I30" s="3">
        <v>14910.699399165886</v>
      </c>
      <c r="J30" s="3">
        <v>20195.477484328068</v>
      </c>
      <c r="K30" s="3">
        <v>13699.895169616479</v>
      </c>
      <c r="L30" s="3">
        <v>7443.7034955959443</v>
      </c>
      <c r="M30" s="3">
        <v>8845.8017219515878</v>
      </c>
      <c r="N30" s="3">
        <v>21086.188218406307</v>
      </c>
      <c r="O30" s="3">
        <v>20222.62275690095</v>
      </c>
      <c r="P30" s="3">
        <v>10833.061382517153</v>
      </c>
      <c r="Q30" s="3">
        <v>16907.548650812041</v>
      </c>
      <c r="R30" s="3">
        <v>11395.030833703158</v>
      </c>
      <c r="S30" s="3">
        <v>19101.886215915263</v>
      </c>
      <c r="T30" s="3">
        <v>11280.644818819719</v>
      </c>
      <c r="U30" s="3">
        <v>10409.914412696426</v>
      </c>
      <c r="V30" s="3">
        <v>10548.811841086683</v>
      </c>
      <c r="W30" s="3">
        <v>10583.799617555838</v>
      </c>
      <c r="X30" s="3">
        <v>10478.420270289838</v>
      </c>
      <c r="Y30" s="3">
        <v>13032.959781527952</v>
      </c>
    </row>
    <row r="31" spans="1:25" x14ac:dyDescent="0.3">
      <c r="A31" s="3" t="s">
        <v>32</v>
      </c>
      <c r="B31" s="3">
        <v>12661.37</v>
      </c>
      <c r="C31" s="3">
        <v>10530.08</v>
      </c>
      <c r="D31" s="3">
        <v>12588</v>
      </c>
      <c r="E31" s="3">
        <v>10475.870000000001</v>
      </c>
      <c r="F31" s="3">
        <v>12335.83</v>
      </c>
      <c r="G31" s="3">
        <v>12371.33</v>
      </c>
      <c r="H31" s="3">
        <v>13586.15</v>
      </c>
      <c r="I31" s="3">
        <v>15105.96</v>
      </c>
      <c r="J31" s="3">
        <v>20447.86</v>
      </c>
      <c r="K31" s="3">
        <v>13772.35</v>
      </c>
      <c r="L31" s="3">
        <v>7526.59</v>
      </c>
      <c r="M31" s="3">
        <v>8991.57</v>
      </c>
      <c r="N31" s="3">
        <v>21507.62</v>
      </c>
      <c r="O31" s="3">
        <v>20359.900000000001</v>
      </c>
      <c r="P31" s="3">
        <v>10901.55</v>
      </c>
      <c r="Q31" s="3">
        <v>17184.68</v>
      </c>
      <c r="R31" s="3">
        <v>11495.47</v>
      </c>
      <c r="S31" s="3">
        <v>19432.490000000002</v>
      </c>
      <c r="T31" s="3">
        <v>11379.14</v>
      </c>
      <c r="U31" s="3">
        <v>10573.09</v>
      </c>
      <c r="V31" s="3">
        <v>10714.84</v>
      </c>
      <c r="W31" s="3">
        <v>10701.49</v>
      </c>
      <c r="X31" s="3">
        <v>10631.36</v>
      </c>
      <c r="Y31" s="3">
        <v>13248.25</v>
      </c>
    </row>
    <row r="32" spans="1:25" x14ac:dyDescent="0.3">
      <c r="A32" s="3" t="s">
        <v>33</v>
      </c>
      <c r="B32" s="3">
        <v>12812.087580000001</v>
      </c>
      <c r="C32" s="3">
        <v>10655.42727085666</v>
      </c>
      <c r="D32" s="3">
        <v>12765.219044717609</v>
      </c>
      <c r="E32" s="3">
        <v>10594.33932358578</v>
      </c>
      <c r="F32" s="3">
        <v>12525.168687949621</v>
      </c>
      <c r="G32" s="3">
        <v>12526.674667406814</v>
      </c>
      <c r="H32" s="3">
        <v>13743.318574660687</v>
      </c>
      <c r="I32" s="3">
        <v>15301.220600834113</v>
      </c>
      <c r="J32" s="3">
        <v>20700.242515671933</v>
      </c>
      <c r="K32" s="3">
        <v>13844.804830383522</v>
      </c>
      <c r="L32" s="3">
        <v>7609.476504404056</v>
      </c>
      <c r="M32" s="3">
        <v>9137.3382780484117</v>
      </c>
      <c r="N32" s="3">
        <v>21929.051781593691</v>
      </c>
      <c r="O32" s="3">
        <v>20497.177243099053</v>
      </c>
      <c r="P32" s="3">
        <v>10970.038617482845</v>
      </c>
      <c r="Q32" s="3">
        <v>17461.811349187959</v>
      </c>
      <c r="R32" s="3">
        <v>11595.90916629684</v>
      </c>
      <c r="S32" s="3">
        <v>19763.09378408474</v>
      </c>
      <c r="T32" s="3">
        <v>11477.63518118028</v>
      </c>
      <c r="U32" s="3">
        <v>10736.265587303575</v>
      </c>
      <c r="V32" s="3">
        <v>10880.868158913318</v>
      </c>
      <c r="W32" s="3">
        <v>10819.180382444161</v>
      </c>
      <c r="X32" s="3">
        <v>10784.299729710163</v>
      </c>
      <c r="Y32" s="3">
        <v>13463.540218472048</v>
      </c>
    </row>
    <row r="33" spans="1:25" x14ac:dyDescent="0.3">
      <c r="A33" s="3" t="s">
        <v>34</v>
      </c>
      <c r="B33" s="3">
        <v>13637.63168</v>
      </c>
      <c r="C33" s="3">
        <v>11822.186334488526</v>
      </c>
      <c r="D33" s="3">
        <v>13145.437793059844</v>
      </c>
      <c r="E33" s="3">
        <v>10726.648567313143</v>
      </c>
      <c r="F33" s="3">
        <v>12822.642009109759</v>
      </c>
      <c r="G33" s="3">
        <v>12568.016347808189</v>
      </c>
      <c r="H33" s="3">
        <v>13144.511361453135</v>
      </c>
      <c r="I33" s="3">
        <v>14512.081376225566</v>
      </c>
      <c r="J33" s="3">
        <v>25669.23290254761</v>
      </c>
      <c r="K33" s="3">
        <v>13909.424206546786</v>
      </c>
      <c r="L33" s="3">
        <v>8141.4054326030946</v>
      </c>
      <c r="M33" s="3">
        <v>8564.3315921552421</v>
      </c>
      <c r="N33" s="3">
        <v>23374.304420877757</v>
      </c>
      <c r="O33" s="3">
        <v>22575.915723800164</v>
      </c>
      <c r="P33" s="3">
        <v>11220.08984822371</v>
      </c>
      <c r="Q33" s="3">
        <v>18334.447511531915</v>
      </c>
      <c r="R33" s="3">
        <v>12071.425152458778</v>
      </c>
      <c r="S33" s="3">
        <v>20471.09890272504</v>
      </c>
      <c r="T33" s="3">
        <v>12543.428888589146</v>
      </c>
      <c r="U33" s="3">
        <v>12041.870334497924</v>
      </c>
      <c r="V33" s="3">
        <v>11486.686999948988</v>
      </c>
      <c r="W33" s="3">
        <v>11512.859197543343</v>
      </c>
      <c r="X33" s="3">
        <v>10873.417035060478</v>
      </c>
      <c r="Y33" s="3">
        <v>13915.150397747386</v>
      </c>
    </row>
    <row r="34" spans="1:25" x14ac:dyDescent="0.3">
      <c r="A34" s="3" t="s">
        <v>35</v>
      </c>
      <c r="B34" s="3">
        <v>13802.48</v>
      </c>
      <c r="C34" s="3">
        <v>11965.09</v>
      </c>
      <c r="D34" s="3">
        <v>13322.92</v>
      </c>
      <c r="E34" s="3">
        <v>10850.54</v>
      </c>
      <c r="F34" s="3">
        <v>13034.01</v>
      </c>
      <c r="G34" s="3">
        <v>12726.41</v>
      </c>
      <c r="H34" s="3">
        <v>13306.31</v>
      </c>
      <c r="I34" s="3">
        <v>14716.52</v>
      </c>
      <c r="J34" s="3">
        <v>26026.51</v>
      </c>
      <c r="K34" s="3">
        <v>13985.85</v>
      </c>
      <c r="L34" s="3">
        <v>8234.9</v>
      </c>
      <c r="M34" s="3">
        <v>8713.32</v>
      </c>
      <c r="N34" s="3">
        <v>23857.19</v>
      </c>
      <c r="O34" s="3">
        <v>22726.02</v>
      </c>
      <c r="P34" s="3">
        <v>11288.83</v>
      </c>
      <c r="Q34" s="3">
        <v>18636.61</v>
      </c>
      <c r="R34" s="3">
        <v>12175.16</v>
      </c>
      <c r="S34" s="3">
        <v>20821.07</v>
      </c>
      <c r="T34" s="3">
        <v>12651.08</v>
      </c>
      <c r="U34" s="3">
        <v>12232.32</v>
      </c>
      <c r="V34" s="3">
        <v>11656.09</v>
      </c>
      <c r="W34" s="3">
        <v>11649.55</v>
      </c>
      <c r="X34" s="3">
        <v>11037.84</v>
      </c>
      <c r="Y34" s="3">
        <v>14147.15</v>
      </c>
    </row>
    <row r="35" spans="1:25" x14ac:dyDescent="0.3">
      <c r="A35" s="3" t="s">
        <v>36</v>
      </c>
      <c r="B35" s="3">
        <v>13967.328319999999</v>
      </c>
      <c r="C35" s="3">
        <v>12107.993665511474</v>
      </c>
      <c r="D35" s="3">
        <v>13500.402206940156</v>
      </c>
      <c r="E35" s="3">
        <v>10974.431432686859</v>
      </c>
      <c r="F35" s="3">
        <v>13245.377990890242</v>
      </c>
      <c r="G35" s="3">
        <v>12884.803652191811</v>
      </c>
      <c r="H35" s="3">
        <v>13468.108638546864</v>
      </c>
      <c r="I35" s="3">
        <v>14920.958623774435</v>
      </c>
      <c r="J35" s="3">
        <v>26383.787097452387</v>
      </c>
      <c r="K35" s="3">
        <v>14062.275793453215</v>
      </c>
      <c r="L35" s="3">
        <v>8328.3945673969047</v>
      </c>
      <c r="M35" s="3">
        <v>8862.3084078447573</v>
      </c>
      <c r="N35" s="3">
        <v>24340.07557912224</v>
      </c>
      <c r="O35" s="3">
        <v>22876.124276199836</v>
      </c>
      <c r="P35" s="3">
        <v>11357.57015177629</v>
      </c>
      <c r="Q35" s="3">
        <v>18938.772488468087</v>
      </c>
      <c r="R35" s="3">
        <v>12278.894847541222</v>
      </c>
      <c r="S35" s="3">
        <v>21171.04109727496</v>
      </c>
      <c r="T35" s="3">
        <v>12758.731111410854</v>
      </c>
      <c r="U35" s="3">
        <v>12422.769665502075</v>
      </c>
      <c r="V35" s="3">
        <v>11825.493000051012</v>
      </c>
      <c r="W35" s="3">
        <v>11786.240802456656</v>
      </c>
      <c r="X35" s="3">
        <v>11202.262964939522</v>
      </c>
      <c r="Y35" s="3">
        <v>14379.149602252613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2"/>
  <sheetViews>
    <sheetView topLeftCell="A13" zoomScale="110" zoomScaleNormal="110" workbookViewId="0">
      <selection activeCell="B21" sqref="B21:Y32"/>
    </sheetView>
  </sheetViews>
  <sheetFormatPr defaultColWidth="9.109375" defaultRowHeight="14.4" x14ac:dyDescent="0.3"/>
  <cols>
    <col min="1" max="1" width="15.6640625" style="3" bestFit="1" customWidth="1"/>
    <col min="2" max="2" width="11.44140625" style="3" bestFit="1" customWidth="1"/>
    <col min="3" max="3" width="8.88671875" style="3" bestFit="1" customWidth="1"/>
    <col min="4" max="5" width="9.109375" style="3"/>
    <col min="6" max="6" width="10.5546875" style="3" customWidth="1"/>
    <col min="7" max="7" width="10" style="3" customWidth="1"/>
    <col min="8" max="16384" width="9.109375" style="3"/>
  </cols>
  <sheetData>
    <row r="1" spans="1:25" s="2" customFormat="1" ht="172.8" x14ac:dyDescent="0.3">
      <c r="A1" s="2" t="s">
        <v>0</v>
      </c>
      <c r="B1" s="2" t="s">
        <v>49</v>
      </c>
      <c r="C1" s="2" t="s">
        <v>50</v>
      </c>
      <c r="D1" s="2" t="s">
        <v>53</v>
      </c>
      <c r="E1" s="2" t="s">
        <v>54</v>
      </c>
      <c r="F1" s="2" t="s">
        <v>55</v>
      </c>
      <c r="G1" s="2" t="s">
        <v>56</v>
      </c>
      <c r="H1" s="2" t="s">
        <v>57</v>
      </c>
      <c r="I1" s="2" t="s">
        <v>58</v>
      </c>
      <c r="J1" s="2" t="s">
        <v>59</v>
      </c>
      <c r="K1" s="2" t="s">
        <v>60</v>
      </c>
      <c r="L1" s="2" t="s">
        <v>61</v>
      </c>
      <c r="M1" s="2" t="s">
        <v>62</v>
      </c>
      <c r="N1" s="2" t="s">
        <v>63</v>
      </c>
      <c r="O1" s="2" t="s">
        <v>64</v>
      </c>
      <c r="P1" s="2" t="s">
        <v>65</v>
      </c>
      <c r="Q1" s="2" t="s">
        <v>66</v>
      </c>
      <c r="R1" s="2" t="s">
        <v>69</v>
      </c>
      <c r="S1" s="2" t="s">
        <v>70</v>
      </c>
      <c r="T1" s="2" t="s">
        <v>71</v>
      </c>
      <c r="U1" s="2" t="s">
        <v>72</v>
      </c>
      <c r="V1" s="2" t="s">
        <v>75</v>
      </c>
      <c r="W1" s="2" t="s">
        <v>76</v>
      </c>
      <c r="X1" s="2" t="s">
        <v>78</v>
      </c>
      <c r="Y1" s="2" t="s">
        <v>79</v>
      </c>
    </row>
    <row r="2" spans="1:25" x14ac:dyDescent="0.3">
      <c r="A2" s="3" t="s">
        <v>26</v>
      </c>
      <c r="B2" s="3">
        <f>B3-182.15</f>
        <v>14008.94</v>
      </c>
      <c r="C2" s="3">
        <f>C3-182.15*C5/B5</f>
        <v>10162.789234244869</v>
      </c>
      <c r="D2" s="3">
        <f>D3-182.15*D5/C5</f>
        <v>15041.396439762097</v>
      </c>
      <c r="E2" s="3">
        <f>E3-182.15*E5/B5</f>
        <v>9791.7042340510852</v>
      </c>
      <c r="F2" s="3">
        <f>F3-182.15*F5/C5</f>
        <v>13766.283596605319</v>
      </c>
      <c r="G2" s="3">
        <f>G3-182.15*G5/D5</f>
        <v>13013.215716468829</v>
      </c>
      <c r="H2" s="3">
        <f t="shared" ref="H2:Q2" si="0">H3-182.15*H5/D5</f>
        <v>11488.995589348968</v>
      </c>
      <c r="I2" s="3">
        <f t="shared" si="0"/>
        <v>12590.496513375314</v>
      </c>
      <c r="J2" s="3">
        <f t="shared" si="0"/>
        <v>26647.56741879688</v>
      </c>
      <c r="K2" s="3">
        <f t="shared" si="0"/>
        <v>13853.487939100432</v>
      </c>
      <c r="L2" s="3">
        <f t="shared" si="0"/>
        <v>10524.876336899935</v>
      </c>
      <c r="M2" s="3">
        <f t="shared" si="0"/>
        <v>7928.8949195971009</v>
      </c>
      <c r="N2" s="3">
        <f t="shared" si="0"/>
        <v>26584.524539270358</v>
      </c>
      <c r="O2" s="3">
        <f t="shared" si="0"/>
        <v>29656.162936243309</v>
      </c>
      <c r="P2" s="3">
        <f t="shared" si="0"/>
        <v>10195.602721657853</v>
      </c>
      <c r="Q2" s="3">
        <f t="shared" si="0"/>
        <v>19741.940790178436</v>
      </c>
      <c r="R2" s="3">
        <f t="shared" ref="R2:Y2" si="1">R3-182.15*R5/O5</f>
        <v>10499.747852658031</v>
      </c>
      <c r="S2" s="3">
        <f t="shared" si="1"/>
        <v>16646.315366938867</v>
      </c>
      <c r="T2" s="3">
        <f t="shared" si="1"/>
        <v>10951.326693291232</v>
      </c>
      <c r="U2" s="3">
        <f t="shared" si="1"/>
        <v>12562.368256014177</v>
      </c>
      <c r="V2" s="3">
        <f t="shared" si="1"/>
        <v>14551.122613074816</v>
      </c>
      <c r="W2" s="3">
        <f t="shared" si="1"/>
        <v>11846.682239276515</v>
      </c>
      <c r="X2" s="3">
        <f t="shared" si="1"/>
        <v>9922.6715666936307</v>
      </c>
      <c r="Y2" s="3">
        <f t="shared" si="1"/>
        <v>12548.380441694851</v>
      </c>
    </row>
    <row r="3" spans="1:25" x14ac:dyDescent="0.3">
      <c r="A3" s="3" t="s">
        <v>25</v>
      </c>
      <c r="B3" s="3">
        <f>B5</f>
        <v>14191.09</v>
      </c>
      <c r="C3" s="3">
        <f t="shared" ref="C3:Y3" si="2">C5</f>
        <v>10294.93</v>
      </c>
      <c r="D3" s="3">
        <f t="shared" si="2"/>
        <v>15312.32</v>
      </c>
      <c r="E3" s="3">
        <f t="shared" si="2"/>
        <v>9919.02</v>
      </c>
      <c r="F3" s="3">
        <f t="shared" si="2"/>
        <v>14014.24</v>
      </c>
      <c r="G3" s="3">
        <f t="shared" si="2"/>
        <v>13169.88</v>
      </c>
      <c r="H3" s="3">
        <f t="shared" si="2"/>
        <v>11627.31</v>
      </c>
      <c r="I3" s="3">
        <f t="shared" si="2"/>
        <v>12826.03</v>
      </c>
      <c r="J3" s="3">
        <f t="shared" si="2"/>
        <v>26998.48</v>
      </c>
      <c r="K3" s="3">
        <f t="shared" si="2"/>
        <v>14047.78</v>
      </c>
      <c r="L3" s="3">
        <f t="shared" si="2"/>
        <v>10692.38</v>
      </c>
      <c r="M3" s="3">
        <f t="shared" si="2"/>
        <v>8043.12</v>
      </c>
      <c r="N3" s="3">
        <f t="shared" si="2"/>
        <v>26765.1</v>
      </c>
      <c r="O3" s="3">
        <f t="shared" si="2"/>
        <v>30045.75</v>
      </c>
      <c r="P3" s="3">
        <f t="shared" si="2"/>
        <v>10372.299999999999</v>
      </c>
      <c r="Q3" s="3">
        <f t="shared" si="2"/>
        <v>20199.39</v>
      </c>
      <c r="R3" s="3">
        <f t="shared" si="2"/>
        <v>10563.79</v>
      </c>
      <c r="S3" s="3">
        <f t="shared" si="2"/>
        <v>16943.87</v>
      </c>
      <c r="T3" s="3">
        <f t="shared" si="2"/>
        <v>11050.98</v>
      </c>
      <c r="U3" s="3">
        <f t="shared" si="2"/>
        <v>12782.78</v>
      </c>
      <c r="V3" s="3">
        <f t="shared" si="2"/>
        <v>14709.25</v>
      </c>
      <c r="W3" s="3">
        <f t="shared" si="2"/>
        <v>12045.22</v>
      </c>
      <c r="X3" s="3">
        <f t="shared" si="2"/>
        <v>10066.11</v>
      </c>
      <c r="Y3" s="3">
        <f t="shared" si="2"/>
        <v>12705.72</v>
      </c>
    </row>
    <row r="4" spans="1:25" x14ac:dyDescent="0.3">
      <c r="A4" s="3" t="s">
        <v>27</v>
      </c>
      <c r="B4" s="3">
        <f>B3+182.15</f>
        <v>14373.24</v>
      </c>
      <c r="C4" s="3">
        <f>C3+182.15*C5/B5</f>
        <v>10427.070765755132</v>
      </c>
      <c r="D4" s="3">
        <f>D3+182.15*D5/C5</f>
        <v>15583.243560237903</v>
      </c>
      <c r="E4" s="3">
        <f>E3+182.15*E5/B5</f>
        <v>10046.335765948916</v>
      </c>
      <c r="F4" s="3">
        <f>F3+182.15*F5/C5</f>
        <v>14262.196403394681</v>
      </c>
      <c r="G4" s="3">
        <f>G3+182.15*G5/D5</f>
        <v>13326.54428353117</v>
      </c>
      <c r="H4" s="3">
        <f t="shared" ref="H4:Q4" si="3">H3+182.15*H5/D5</f>
        <v>11765.624410651031</v>
      </c>
      <c r="I4" s="3">
        <f t="shared" si="3"/>
        <v>13061.563486624687</v>
      </c>
      <c r="J4" s="3">
        <f t="shared" si="3"/>
        <v>27349.392581203119</v>
      </c>
      <c r="K4" s="3">
        <f t="shared" si="3"/>
        <v>14242.072060899569</v>
      </c>
      <c r="L4" s="3">
        <f t="shared" si="3"/>
        <v>10859.883663100063</v>
      </c>
      <c r="M4" s="3">
        <f t="shared" si="3"/>
        <v>8157.3450804028989</v>
      </c>
      <c r="N4" s="3">
        <f t="shared" si="3"/>
        <v>26945.675460729639</v>
      </c>
      <c r="O4" s="3">
        <f t="shared" si="3"/>
        <v>30435.337063756691</v>
      </c>
      <c r="P4" s="3">
        <f t="shared" si="3"/>
        <v>10548.997278342145</v>
      </c>
      <c r="Q4" s="3">
        <f t="shared" si="3"/>
        <v>20656.839209821563</v>
      </c>
      <c r="R4" s="3">
        <f t="shared" ref="R4:Y4" si="4">R3+182.15*R5/O5</f>
        <v>10627.832147341971</v>
      </c>
      <c r="S4" s="3">
        <f t="shared" si="4"/>
        <v>17241.424633061131</v>
      </c>
      <c r="T4" s="3">
        <f t="shared" si="4"/>
        <v>11150.633306708767</v>
      </c>
      <c r="U4" s="3">
        <f t="shared" si="4"/>
        <v>13003.191743985824</v>
      </c>
      <c r="V4" s="3">
        <f t="shared" si="4"/>
        <v>14867.377386925184</v>
      </c>
      <c r="W4" s="3">
        <f t="shared" si="4"/>
        <v>12243.757760723483</v>
      </c>
      <c r="X4" s="3">
        <f t="shared" si="4"/>
        <v>10209.54843330637</v>
      </c>
      <c r="Y4" s="3">
        <f t="shared" si="4"/>
        <v>12863.059558305147</v>
      </c>
    </row>
    <row r="5" spans="1:25" s="4" customFormat="1" x14ac:dyDescent="0.3">
      <c r="A5" s="4" t="s">
        <v>82</v>
      </c>
      <c r="B5" s="4">
        <v>14191.09</v>
      </c>
      <c r="C5" s="4">
        <v>10294.93</v>
      </c>
      <c r="D5" s="4">
        <v>15312.32</v>
      </c>
      <c r="E5" s="4">
        <v>9919.02</v>
      </c>
      <c r="F5" s="4">
        <v>14014.24</v>
      </c>
      <c r="G5" s="4">
        <v>13169.88</v>
      </c>
      <c r="H5" s="4">
        <v>11627.31</v>
      </c>
      <c r="I5" s="4">
        <v>12826.03</v>
      </c>
      <c r="J5" s="4">
        <v>26998.48</v>
      </c>
      <c r="K5" s="4">
        <v>14047.78</v>
      </c>
      <c r="L5" s="4">
        <v>10692.38</v>
      </c>
      <c r="M5" s="4">
        <v>8043.12</v>
      </c>
      <c r="N5" s="4">
        <v>26765.1</v>
      </c>
      <c r="O5" s="4">
        <v>30045.75</v>
      </c>
      <c r="P5" s="4">
        <v>10372.299999999999</v>
      </c>
      <c r="Q5" s="4">
        <v>20199.39</v>
      </c>
      <c r="R5" s="4">
        <v>10563.79</v>
      </c>
      <c r="S5" s="4">
        <v>16943.87</v>
      </c>
      <c r="T5" s="4">
        <v>11050.98</v>
      </c>
      <c r="U5" s="4">
        <v>12782.78</v>
      </c>
      <c r="V5" s="4">
        <v>14709.25</v>
      </c>
      <c r="W5" s="4">
        <v>12045.22</v>
      </c>
      <c r="X5" s="4">
        <v>10066.11</v>
      </c>
      <c r="Y5" s="4">
        <v>12705.72</v>
      </c>
    </row>
    <row r="6" spans="1:25" x14ac:dyDescent="0.3">
      <c r="A6" s="3" t="s">
        <v>28</v>
      </c>
      <c r="B6" s="3">
        <f>B7-176.84</f>
        <v>15012.49</v>
      </c>
      <c r="C6" s="3">
        <f t="shared" ref="C6:Y6" si="5">C7-176.84*C9/B9</f>
        <v>12625.556937481773</v>
      </c>
      <c r="D6" s="3">
        <f t="shared" si="5"/>
        <v>15776.838328766866</v>
      </c>
      <c r="E6" s="3">
        <f t="shared" si="5"/>
        <v>11212.683406853599</v>
      </c>
      <c r="F6" s="3">
        <f t="shared" si="5"/>
        <v>14297.064211470972</v>
      </c>
      <c r="G6" s="3">
        <f t="shared" si="5"/>
        <v>14145.224036550191</v>
      </c>
      <c r="H6" s="3">
        <f t="shared" si="5"/>
        <v>12751.071344089702</v>
      </c>
      <c r="I6" s="3">
        <f t="shared" si="5"/>
        <v>14796.679764308305</v>
      </c>
      <c r="J6" s="3">
        <f t="shared" si="5"/>
        <v>33260.461444977627</v>
      </c>
      <c r="K6" s="3">
        <f t="shared" si="5"/>
        <v>14717.68263406344</v>
      </c>
      <c r="L6" s="3">
        <f t="shared" si="5"/>
        <v>11275.481245574643</v>
      </c>
      <c r="M6" s="3">
        <f t="shared" si="5"/>
        <v>8866.0874129065487</v>
      </c>
      <c r="N6" s="3">
        <f t="shared" si="5"/>
        <v>29140.74375435838</v>
      </c>
      <c r="O6" s="3">
        <f t="shared" si="5"/>
        <v>28770.063435278658</v>
      </c>
      <c r="P6" s="3">
        <f t="shared" si="5"/>
        <v>11508.400252278243</v>
      </c>
      <c r="Q6" s="3">
        <f t="shared" si="5"/>
        <v>21694.132700837283</v>
      </c>
      <c r="R6" s="3">
        <f t="shared" si="5"/>
        <v>10650.734521862556</v>
      </c>
      <c r="S6" s="3">
        <f t="shared" si="5"/>
        <v>19325.641165399389</v>
      </c>
      <c r="T6" s="3">
        <f t="shared" si="5"/>
        <v>12380.862480845344</v>
      </c>
      <c r="U6" s="3">
        <f t="shared" si="5"/>
        <v>13077.670522792218</v>
      </c>
      <c r="V6" s="3">
        <f t="shared" si="5"/>
        <v>15398.047073749533</v>
      </c>
      <c r="W6" s="3">
        <f t="shared" si="5"/>
        <v>11873.711265922469</v>
      </c>
      <c r="X6" s="3">
        <f t="shared" si="5"/>
        <v>11076.012353111626</v>
      </c>
      <c r="Y6" s="3">
        <f t="shared" si="5"/>
        <v>13078.248742521044</v>
      </c>
    </row>
    <row r="7" spans="1:25" x14ac:dyDescent="0.3">
      <c r="A7" s="3" t="s">
        <v>29</v>
      </c>
      <c r="B7" s="3">
        <f>B9</f>
        <v>15189.33</v>
      </c>
      <c r="C7" s="3">
        <f t="shared" ref="C7:Y7" si="6">C9</f>
        <v>12774.28</v>
      </c>
      <c r="D7" s="3">
        <f t="shared" si="6"/>
        <v>15998.31</v>
      </c>
      <c r="E7" s="3">
        <f t="shared" si="6"/>
        <v>11338.01</v>
      </c>
      <c r="F7" s="3">
        <f t="shared" si="6"/>
        <v>14523.59</v>
      </c>
      <c r="G7" s="3">
        <f t="shared" si="6"/>
        <v>14319.58</v>
      </c>
      <c r="H7" s="3">
        <f t="shared" si="6"/>
        <v>12910.51</v>
      </c>
      <c r="I7" s="3">
        <f t="shared" si="6"/>
        <v>15002.17</v>
      </c>
      <c r="J7" s="3">
        <f t="shared" si="6"/>
        <v>33657.199999999997</v>
      </c>
      <c r="K7" s="3">
        <f t="shared" si="6"/>
        <v>14795.42</v>
      </c>
      <c r="L7" s="3">
        <f t="shared" si="6"/>
        <v>11411.88</v>
      </c>
      <c r="M7" s="3">
        <f t="shared" si="6"/>
        <v>9005.64</v>
      </c>
      <c r="N7" s="3">
        <f t="shared" si="6"/>
        <v>29724.43</v>
      </c>
      <c r="O7" s="3">
        <f t="shared" si="6"/>
        <v>28942.25</v>
      </c>
      <c r="P7" s="3">
        <f t="shared" si="6"/>
        <v>11579.15</v>
      </c>
      <c r="Q7" s="3">
        <f t="shared" si="6"/>
        <v>22030.59</v>
      </c>
      <c r="R7" s="3">
        <f t="shared" si="6"/>
        <v>10736.92</v>
      </c>
      <c r="S7" s="3">
        <f t="shared" si="6"/>
        <v>19649.27</v>
      </c>
      <c r="T7" s="3">
        <f t="shared" si="6"/>
        <v>12493.3</v>
      </c>
      <c r="U7" s="3">
        <f t="shared" si="6"/>
        <v>13265.44</v>
      </c>
      <c r="V7" s="3">
        <f t="shared" si="6"/>
        <v>15606.09</v>
      </c>
      <c r="W7" s="3">
        <f t="shared" si="6"/>
        <v>12009.8</v>
      </c>
      <c r="X7" s="3">
        <f t="shared" si="6"/>
        <v>11241.54</v>
      </c>
      <c r="Y7" s="3">
        <f t="shared" si="6"/>
        <v>13287.27</v>
      </c>
    </row>
    <row r="8" spans="1:25" x14ac:dyDescent="0.3">
      <c r="A8" s="3" t="s">
        <v>30</v>
      </c>
      <c r="B8" s="3">
        <f>B7+176.84</f>
        <v>15366.17</v>
      </c>
      <c r="C8" s="3">
        <f t="shared" ref="C8:Y8" si="7">C7+176.84*C9/B9</f>
        <v>12923.003062518228</v>
      </c>
      <c r="D8" s="3">
        <f t="shared" si="7"/>
        <v>16219.781671233133</v>
      </c>
      <c r="E8" s="3">
        <f t="shared" si="7"/>
        <v>11463.336593146401</v>
      </c>
      <c r="F8" s="3">
        <f t="shared" si="7"/>
        <v>14750.115788529029</v>
      </c>
      <c r="G8" s="3">
        <f t="shared" si="7"/>
        <v>14493.935963449809</v>
      </c>
      <c r="H8" s="3">
        <f t="shared" si="7"/>
        <v>13069.948655910299</v>
      </c>
      <c r="I8" s="3">
        <f t="shared" si="7"/>
        <v>15207.660235691696</v>
      </c>
      <c r="J8" s="3">
        <f t="shared" si="7"/>
        <v>34053.938555022367</v>
      </c>
      <c r="K8" s="3">
        <f t="shared" si="7"/>
        <v>14873.15736593656</v>
      </c>
      <c r="L8" s="3">
        <f t="shared" si="7"/>
        <v>11548.278754425355</v>
      </c>
      <c r="M8" s="3">
        <f t="shared" si="7"/>
        <v>9145.1925870934501</v>
      </c>
      <c r="N8" s="3">
        <f t="shared" si="7"/>
        <v>30308.11624564162</v>
      </c>
      <c r="O8" s="3">
        <f t="shared" si="7"/>
        <v>29114.436564721342</v>
      </c>
      <c r="P8" s="3">
        <f t="shared" si="7"/>
        <v>11649.899747721756</v>
      </c>
      <c r="Q8" s="3">
        <f t="shared" si="7"/>
        <v>22367.047299162718</v>
      </c>
      <c r="R8" s="3">
        <f t="shared" si="7"/>
        <v>10823.105478137444</v>
      </c>
      <c r="S8" s="3">
        <f t="shared" si="7"/>
        <v>19972.898834600612</v>
      </c>
      <c r="T8" s="3">
        <f t="shared" si="7"/>
        <v>12605.737519154654</v>
      </c>
      <c r="U8" s="3">
        <f t="shared" si="7"/>
        <v>13453.209477207783</v>
      </c>
      <c r="V8" s="3">
        <f t="shared" si="7"/>
        <v>15814.132926250468</v>
      </c>
      <c r="W8" s="3">
        <f t="shared" si="7"/>
        <v>12145.888734077529</v>
      </c>
      <c r="X8" s="3">
        <f t="shared" si="7"/>
        <v>11407.067646888376</v>
      </c>
      <c r="Y8" s="3">
        <f t="shared" si="7"/>
        <v>13496.291257478957</v>
      </c>
    </row>
    <row r="9" spans="1:25" s="4" customFormat="1" x14ac:dyDescent="0.3">
      <c r="A9" s="4" t="s">
        <v>83</v>
      </c>
      <c r="B9" s="4">
        <v>15189.33</v>
      </c>
      <c r="C9" s="4">
        <v>12774.28</v>
      </c>
      <c r="D9" s="4">
        <v>15998.31</v>
      </c>
      <c r="E9" s="4">
        <v>11338.01</v>
      </c>
      <c r="F9" s="4">
        <v>14523.59</v>
      </c>
      <c r="G9" s="4">
        <v>14319.58</v>
      </c>
      <c r="H9" s="4">
        <v>12910.51</v>
      </c>
      <c r="I9" s="4">
        <v>15002.17</v>
      </c>
      <c r="J9" s="4">
        <v>33657.199999999997</v>
      </c>
      <c r="K9" s="4">
        <v>14795.42</v>
      </c>
      <c r="L9" s="4">
        <v>11411.88</v>
      </c>
      <c r="M9" s="4">
        <v>9005.64</v>
      </c>
      <c r="N9" s="4">
        <v>29724.43</v>
      </c>
      <c r="O9" s="4">
        <v>28942.25</v>
      </c>
      <c r="P9" s="4">
        <v>11579.15</v>
      </c>
      <c r="Q9" s="4">
        <v>22030.59</v>
      </c>
      <c r="R9" s="4">
        <v>10736.92</v>
      </c>
      <c r="S9" s="4">
        <v>19649.27</v>
      </c>
      <c r="T9" s="4">
        <v>12493.3</v>
      </c>
      <c r="U9" s="4">
        <v>13265.44</v>
      </c>
      <c r="V9" s="4">
        <v>15606.09</v>
      </c>
      <c r="W9" s="4">
        <v>12009.8</v>
      </c>
      <c r="X9" s="4">
        <v>11241.54</v>
      </c>
      <c r="Y9" s="4">
        <v>13287.27</v>
      </c>
    </row>
    <row r="10" spans="1:25" x14ac:dyDescent="0.3">
      <c r="A10" s="3" t="s">
        <v>31</v>
      </c>
      <c r="B10" s="3">
        <f>B11-190.07</f>
        <v>15768.050000000001</v>
      </c>
      <c r="C10" s="3">
        <f>C11-190.07*C13/B13</f>
        <v>13347.645847192527</v>
      </c>
      <c r="D10" s="3">
        <f t="shared" ref="D10:Y10" si="8">D11-190.07*D13/C13</f>
        <v>16575.232229138011</v>
      </c>
      <c r="E10" s="3">
        <f t="shared" si="8"/>
        <v>12238.195682991331</v>
      </c>
      <c r="F10" s="3">
        <f t="shared" si="8"/>
        <v>14909.706734242785</v>
      </c>
      <c r="G10" s="3">
        <f t="shared" si="8"/>
        <v>16220.062443783012</v>
      </c>
      <c r="H10" s="3">
        <f t="shared" si="8"/>
        <v>14535.271803205236</v>
      </c>
      <c r="I10" s="3">
        <f t="shared" si="8"/>
        <v>15205.068675394055</v>
      </c>
      <c r="J10" s="3">
        <f t="shared" si="8"/>
        <v>35709.540131405978</v>
      </c>
      <c r="K10" s="3">
        <f t="shared" si="8"/>
        <v>17176.137999607807</v>
      </c>
      <c r="L10" s="3">
        <f t="shared" si="8"/>
        <v>11597.358163655223</v>
      </c>
      <c r="M10" s="3">
        <f t="shared" si="8"/>
        <v>9545.2255382963631</v>
      </c>
      <c r="N10" s="3">
        <f t="shared" si="8"/>
        <v>27633.959077556377</v>
      </c>
      <c r="O10" s="3">
        <f t="shared" si="8"/>
        <v>30049.776894780127</v>
      </c>
      <c r="P10" s="3">
        <f t="shared" si="8"/>
        <v>11717.360058253858</v>
      </c>
      <c r="Q10" s="3">
        <f t="shared" si="8"/>
        <v>21400.900278710658</v>
      </c>
      <c r="R10" s="3">
        <f t="shared" si="8"/>
        <v>11076.002053097898</v>
      </c>
      <c r="S10" s="3">
        <f t="shared" si="8"/>
        <v>21579.262201332778</v>
      </c>
      <c r="T10" s="3">
        <f t="shared" si="8"/>
        <v>12207.621285081692</v>
      </c>
      <c r="U10" s="3">
        <f t="shared" si="8"/>
        <v>12069.851547631035</v>
      </c>
      <c r="V10" s="3">
        <f t="shared" si="8"/>
        <v>17024.487942396932</v>
      </c>
      <c r="W10" s="3">
        <f t="shared" si="8"/>
        <v>13066.287030001273</v>
      </c>
      <c r="X10" s="3">
        <f t="shared" si="8"/>
        <v>11526.195500071908</v>
      </c>
      <c r="Y10" s="3">
        <f t="shared" si="8"/>
        <v>14211.936805336552</v>
      </c>
    </row>
    <row r="11" spans="1:25" x14ac:dyDescent="0.3">
      <c r="A11" s="3" t="s">
        <v>32</v>
      </c>
      <c r="B11" s="3">
        <f>B13</f>
        <v>15958.12</v>
      </c>
      <c r="C11" s="3">
        <f t="shared" ref="C11:Y11" si="9">C13</f>
        <v>13508.54</v>
      </c>
      <c r="D11" s="3">
        <f t="shared" si="9"/>
        <v>16811.78</v>
      </c>
      <c r="E11" s="3">
        <f t="shared" si="9"/>
        <v>12378.14</v>
      </c>
      <c r="F11" s="3">
        <f t="shared" si="9"/>
        <v>15142.22</v>
      </c>
      <c r="G11" s="3">
        <f t="shared" si="9"/>
        <v>16426.25</v>
      </c>
      <c r="H11" s="3">
        <f t="shared" si="9"/>
        <v>14705.43</v>
      </c>
      <c r="I11" s="3">
        <f t="shared" si="9"/>
        <v>15404.17</v>
      </c>
      <c r="J11" s="3">
        <f t="shared" si="9"/>
        <v>36155.660000000003</v>
      </c>
      <c r="K11" s="3">
        <f t="shared" si="9"/>
        <v>17266.91</v>
      </c>
      <c r="L11" s="3">
        <f t="shared" si="9"/>
        <v>11726.44</v>
      </c>
      <c r="M11" s="3">
        <f t="shared" si="9"/>
        <v>9702.49</v>
      </c>
      <c r="N11" s="3">
        <f t="shared" si="9"/>
        <v>28186.12</v>
      </c>
      <c r="O11" s="3">
        <f t="shared" si="9"/>
        <v>30253.79</v>
      </c>
      <c r="P11" s="3">
        <f t="shared" si="9"/>
        <v>11791.44</v>
      </c>
      <c r="Q11" s="3">
        <f t="shared" si="9"/>
        <v>21751.52</v>
      </c>
      <c r="R11" s="3">
        <f t="shared" si="9"/>
        <v>11173.64</v>
      </c>
      <c r="S11" s="3">
        <f t="shared" si="9"/>
        <v>21952.69</v>
      </c>
      <c r="T11" s="3">
        <f t="shared" si="9"/>
        <v>12314.24</v>
      </c>
      <c r="U11" s="3">
        <f t="shared" si="9"/>
        <v>12259.07</v>
      </c>
      <c r="V11" s="3">
        <f t="shared" si="9"/>
        <v>17292.599999999999</v>
      </c>
      <c r="W11" s="3">
        <f t="shared" si="9"/>
        <v>13211.5</v>
      </c>
      <c r="X11" s="3">
        <f t="shared" si="9"/>
        <v>11694.44</v>
      </c>
      <c r="Y11" s="3">
        <f t="shared" si="9"/>
        <v>14446.74</v>
      </c>
    </row>
    <row r="12" spans="1:25" x14ac:dyDescent="0.3">
      <c r="A12" s="3" t="s">
        <v>33</v>
      </c>
      <c r="B12" s="3">
        <f>B11+190.07</f>
        <v>16148.19</v>
      </c>
      <c r="C12" s="3">
        <f>C11+190.07*C13/B13</f>
        <v>13669.434152807475</v>
      </c>
      <c r="D12" s="3">
        <f t="shared" ref="D12:Y12" si="10">D11+190.07*D13/C13</f>
        <v>17048.327770861986</v>
      </c>
      <c r="E12" s="3">
        <f t="shared" si="10"/>
        <v>12518.084317008668</v>
      </c>
      <c r="F12" s="3">
        <f t="shared" si="10"/>
        <v>15374.733265757213</v>
      </c>
      <c r="G12" s="3">
        <f t="shared" si="10"/>
        <v>16632.437556216988</v>
      </c>
      <c r="H12" s="3">
        <f t="shared" si="10"/>
        <v>14875.588196794764</v>
      </c>
      <c r="I12" s="3">
        <f t="shared" si="10"/>
        <v>15603.271324605945</v>
      </c>
      <c r="J12" s="3">
        <f t="shared" si="10"/>
        <v>36601.779868594029</v>
      </c>
      <c r="K12" s="3">
        <f t="shared" si="10"/>
        <v>17357.682000392193</v>
      </c>
      <c r="L12" s="3">
        <f t="shared" si="10"/>
        <v>11855.521836344778</v>
      </c>
      <c r="M12" s="3">
        <f t="shared" si="10"/>
        <v>9859.7544617036365</v>
      </c>
      <c r="N12" s="3">
        <f t="shared" si="10"/>
        <v>28738.280922443621</v>
      </c>
      <c r="O12" s="3">
        <f t="shared" si="10"/>
        <v>30457.803105219875</v>
      </c>
      <c r="P12" s="3">
        <f t="shared" si="10"/>
        <v>11865.519941746143</v>
      </c>
      <c r="Q12" s="3">
        <f t="shared" si="10"/>
        <v>22102.139721289343</v>
      </c>
      <c r="R12" s="3">
        <f t="shared" si="10"/>
        <v>11271.277946902101</v>
      </c>
      <c r="S12" s="3">
        <f t="shared" si="10"/>
        <v>22326.117798667219</v>
      </c>
      <c r="T12" s="3">
        <f t="shared" si="10"/>
        <v>12420.858714918308</v>
      </c>
      <c r="U12" s="3">
        <f t="shared" si="10"/>
        <v>12448.288452368964</v>
      </c>
      <c r="V12" s="3">
        <f t="shared" si="10"/>
        <v>17560.712057603065</v>
      </c>
      <c r="W12" s="3">
        <f t="shared" si="10"/>
        <v>13356.712969998727</v>
      </c>
      <c r="X12" s="3">
        <f t="shared" si="10"/>
        <v>11862.684499928093</v>
      </c>
      <c r="Y12" s="3">
        <f t="shared" si="10"/>
        <v>14681.543194663447</v>
      </c>
    </row>
    <row r="13" spans="1:25" s="4" customFormat="1" x14ac:dyDescent="0.3">
      <c r="A13" s="4" t="s">
        <v>84</v>
      </c>
      <c r="B13" s="4">
        <v>15958.12</v>
      </c>
      <c r="C13" s="4">
        <v>13508.54</v>
      </c>
      <c r="D13" s="4">
        <v>16811.78</v>
      </c>
      <c r="E13" s="4">
        <v>12378.14</v>
      </c>
      <c r="F13" s="4">
        <v>15142.22</v>
      </c>
      <c r="G13" s="4">
        <v>16426.25</v>
      </c>
      <c r="H13" s="4">
        <v>14705.43</v>
      </c>
      <c r="I13" s="4">
        <v>15404.17</v>
      </c>
      <c r="J13" s="4">
        <v>36155.660000000003</v>
      </c>
      <c r="K13" s="4">
        <v>17266.91</v>
      </c>
      <c r="L13" s="4">
        <v>11726.44</v>
      </c>
      <c r="M13" s="4">
        <v>9702.49</v>
      </c>
      <c r="N13" s="4">
        <v>28186.12</v>
      </c>
      <c r="O13" s="4">
        <v>30253.79</v>
      </c>
      <c r="P13" s="4">
        <v>11791.44</v>
      </c>
      <c r="Q13" s="4">
        <v>21751.52</v>
      </c>
      <c r="R13" s="4">
        <v>11173.64</v>
      </c>
      <c r="S13" s="4">
        <v>21952.69</v>
      </c>
      <c r="T13" s="4">
        <v>12314.24</v>
      </c>
      <c r="U13" s="4">
        <v>12259.07</v>
      </c>
      <c r="V13" s="4">
        <v>17292.599999999999</v>
      </c>
      <c r="W13" s="4">
        <v>13211.5</v>
      </c>
      <c r="X13" s="4">
        <v>11694.44</v>
      </c>
      <c r="Y13" s="4">
        <v>14446.74</v>
      </c>
    </row>
    <row r="14" spans="1:25" x14ac:dyDescent="0.3">
      <c r="A14" s="3" t="s">
        <v>34</v>
      </c>
      <c r="B14" s="3">
        <f>B15-201.41</f>
        <v>16710.91</v>
      </c>
      <c r="C14" s="3">
        <f>C15-201.41*C17/B17</f>
        <v>14993.301655189827</v>
      </c>
      <c r="D14" s="3">
        <f t="shared" ref="D14:Y14" si="11">D15-201.41*D17/C17</f>
        <v>17447.251225615379</v>
      </c>
      <c r="E14" s="3">
        <f t="shared" si="11"/>
        <v>12319.613959003391</v>
      </c>
      <c r="F14" s="3">
        <f t="shared" si="11"/>
        <v>15972.208229948739</v>
      </c>
      <c r="G14" s="3">
        <f t="shared" si="11"/>
        <v>16413.423481693422</v>
      </c>
      <c r="H14" s="3">
        <f t="shared" si="11"/>
        <v>14368.840484343496</v>
      </c>
      <c r="I14" s="3">
        <f t="shared" si="11"/>
        <v>14515.428637184594</v>
      </c>
      <c r="J14" s="3">
        <f t="shared" si="11"/>
        <v>36440.185255580283</v>
      </c>
      <c r="K14" s="3">
        <f t="shared" si="11"/>
        <v>17691.137948423268</v>
      </c>
      <c r="L14" s="3">
        <f t="shared" si="11"/>
        <v>11677.801099610921</v>
      </c>
      <c r="M14" s="3">
        <f t="shared" si="11"/>
        <v>9811.8069161684252</v>
      </c>
      <c r="N14" s="3">
        <f t="shared" si="11"/>
        <v>29955.3851898213</v>
      </c>
      <c r="O14" s="3">
        <f t="shared" si="11"/>
        <v>32978.596169140321</v>
      </c>
      <c r="P14" s="3">
        <f t="shared" si="11"/>
        <v>12389.831310359577</v>
      </c>
      <c r="Q14" s="3">
        <f t="shared" si="11"/>
        <v>23321.5843610665</v>
      </c>
      <c r="R14" s="3">
        <f t="shared" si="11"/>
        <v>11913.685922447932</v>
      </c>
      <c r="S14" s="3">
        <f t="shared" si="11"/>
        <v>23332.392104316157</v>
      </c>
      <c r="T14" s="3">
        <f t="shared" si="11"/>
        <v>12869.058724214248</v>
      </c>
      <c r="U14" s="3">
        <f t="shared" si="11"/>
        <v>13690.168958350347</v>
      </c>
      <c r="V14" s="3">
        <f t="shared" si="11"/>
        <v>16959.148535915534</v>
      </c>
      <c r="W14" s="3">
        <f t="shared" si="11"/>
        <v>13402.101795903045</v>
      </c>
      <c r="X14" s="3">
        <f t="shared" si="11"/>
        <v>12142.604876010448</v>
      </c>
      <c r="Y14" s="3">
        <f t="shared" si="11"/>
        <v>13788.847624234626</v>
      </c>
    </row>
    <row r="15" spans="1:25" x14ac:dyDescent="0.3">
      <c r="A15" s="3" t="s">
        <v>35</v>
      </c>
      <c r="B15" s="3">
        <f>B17</f>
        <v>16912.32</v>
      </c>
      <c r="C15" s="3">
        <f t="shared" ref="C15:Y15" si="12">C17</f>
        <v>15174.01</v>
      </c>
      <c r="D15" s="3">
        <f t="shared" si="12"/>
        <v>17681.95</v>
      </c>
      <c r="E15" s="3">
        <f t="shared" si="12"/>
        <v>12461.56</v>
      </c>
      <c r="F15" s="3">
        <f t="shared" si="12"/>
        <v>16234.6</v>
      </c>
      <c r="G15" s="3">
        <f t="shared" si="12"/>
        <v>16619.61</v>
      </c>
      <c r="H15" s="3">
        <f t="shared" si="12"/>
        <v>14545.11</v>
      </c>
      <c r="I15" s="3">
        <f t="shared" si="12"/>
        <v>14719.25</v>
      </c>
      <c r="J15" s="3">
        <f t="shared" si="12"/>
        <v>36945.730000000003</v>
      </c>
      <c r="K15" s="3">
        <f t="shared" si="12"/>
        <v>17788.11</v>
      </c>
      <c r="L15" s="3">
        <f t="shared" si="12"/>
        <v>11811.54</v>
      </c>
      <c r="M15" s="3">
        <f t="shared" si="12"/>
        <v>9982.02</v>
      </c>
      <c r="N15" s="3">
        <f t="shared" si="12"/>
        <v>30572.25</v>
      </c>
      <c r="O15" s="3">
        <f t="shared" si="12"/>
        <v>33197.300000000003</v>
      </c>
      <c r="P15" s="3">
        <f t="shared" si="12"/>
        <v>12465.46</v>
      </c>
      <c r="Q15" s="3">
        <f t="shared" si="12"/>
        <v>23704.59</v>
      </c>
      <c r="R15" s="3">
        <f t="shared" si="12"/>
        <v>12015.78</v>
      </c>
      <c r="S15" s="3">
        <f t="shared" si="12"/>
        <v>23730.16</v>
      </c>
      <c r="T15" s="3">
        <f t="shared" si="12"/>
        <v>12979.22</v>
      </c>
      <c r="U15" s="3">
        <f t="shared" si="12"/>
        <v>13905.96</v>
      </c>
      <c r="V15" s="3">
        <f t="shared" si="12"/>
        <v>17208.39</v>
      </c>
      <c r="W15" s="3">
        <f t="shared" si="12"/>
        <v>13560.82</v>
      </c>
      <c r="X15" s="3">
        <f t="shared" si="12"/>
        <v>12325.67</v>
      </c>
      <c r="Y15" s="3">
        <f t="shared" si="12"/>
        <v>14017.91</v>
      </c>
    </row>
    <row r="16" spans="1:25" x14ac:dyDescent="0.3">
      <c r="A16" s="3" t="s">
        <v>36</v>
      </c>
      <c r="B16" s="3">
        <f>B15+201.41</f>
        <v>17113.73</v>
      </c>
      <c r="C16" s="3">
        <f>C15+201.41*C17/B17</f>
        <v>15354.718344810173</v>
      </c>
      <c r="D16" s="3">
        <f t="shared" ref="D16:Y16" si="13">D15+201.41*D17/C17</f>
        <v>17916.648774384623</v>
      </c>
      <c r="E16" s="3">
        <f t="shared" si="13"/>
        <v>12603.506040996608</v>
      </c>
      <c r="F16" s="3">
        <f t="shared" si="13"/>
        <v>16496.991770051263</v>
      </c>
      <c r="G16" s="3">
        <f t="shared" si="13"/>
        <v>16825.796518306579</v>
      </c>
      <c r="H16" s="3">
        <f t="shared" si="13"/>
        <v>14721.379515656505</v>
      </c>
      <c r="I16" s="3">
        <f t="shared" si="13"/>
        <v>14923.071362815406</v>
      </c>
      <c r="J16" s="3">
        <f t="shared" si="13"/>
        <v>37451.274744419723</v>
      </c>
      <c r="K16" s="3">
        <f t="shared" si="13"/>
        <v>17885.082051576734</v>
      </c>
      <c r="L16" s="3">
        <f t="shared" si="13"/>
        <v>11945.278900389081</v>
      </c>
      <c r="M16" s="3">
        <f t="shared" si="13"/>
        <v>10152.233083831576</v>
      </c>
      <c r="N16" s="3">
        <f t="shared" si="13"/>
        <v>31189.1148101787</v>
      </c>
      <c r="O16" s="3">
        <f t="shared" si="13"/>
        <v>33416.003830859685</v>
      </c>
      <c r="P16" s="3">
        <f t="shared" si="13"/>
        <v>12541.088689640421</v>
      </c>
      <c r="Q16" s="3">
        <f t="shared" si="13"/>
        <v>24087.595638933501</v>
      </c>
      <c r="R16" s="3">
        <f t="shared" si="13"/>
        <v>12117.874077552069</v>
      </c>
      <c r="S16" s="3">
        <f t="shared" si="13"/>
        <v>24127.927895683843</v>
      </c>
      <c r="T16" s="3">
        <f t="shared" si="13"/>
        <v>13089.38127578575</v>
      </c>
      <c r="U16" s="3">
        <f t="shared" si="13"/>
        <v>14121.751041649652</v>
      </c>
      <c r="V16" s="3">
        <f t="shared" si="13"/>
        <v>17457.631464084465</v>
      </c>
      <c r="W16" s="3">
        <f t="shared" si="13"/>
        <v>13719.538204096954</v>
      </c>
      <c r="X16" s="3">
        <f t="shared" si="13"/>
        <v>12508.735123989552</v>
      </c>
      <c r="Y16" s="3">
        <f t="shared" si="13"/>
        <v>14246.972375765374</v>
      </c>
    </row>
    <row r="17" spans="1:25" s="4" customFormat="1" x14ac:dyDescent="0.3">
      <c r="A17" s="4" t="s">
        <v>85</v>
      </c>
      <c r="B17" s="4">
        <v>16912.32</v>
      </c>
      <c r="C17" s="4">
        <v>15174.01</v>
      </c>
      <c r="D17" s="4">
        <v>17681.95</v>
      </c>
      <c r="E17" s="4">
        <v>12461.56</v>
      </c>
      <c r="F17" s="4">
        <v>16234.6</v>
      </c>
      <c r="G17" s="4">
        <v>16619.61</v>
      </c>
      <c r="H17" s="4">
        <v>14545.11</v>
      </c>
      <c r="I17" s="4">
        <v>14719.25</v>
      </c>
      <c r="J17" s="4">
        <v>36945.730000000003</v>
      </c>
      <c r="K17" s="4">
        <v>17788.11</v>
      </c>
      <c r="L17" s="4">
        <v>11811.54</v>
      </c>
      <c r="M17" s="4">
        <v>9982.02</v>
      </c>
      <c r="N17" s="4">
        <v>30572.25</v>
      </c>
      <c r="O17" s="4">
        <v>33197.300000000003</v>
      </c>
      <c r="P17" s="4">
        <v>12465.46</v>
      </c>
      <c r="Q17" s="4">
        <v>23704.59</v>
      </c>
      <c r="R17" s="4">
        <v>12015.78</v>
      </c>
      <c r="S17" s="4">
        <v>23730.16</v>
      </c>
      <c r="T17" s="4">
        <v>12979.22</v>
      </c>
      <c r="U17" s="4">
        <v>13905.96</v>
      </c>
      <c r="V17" s="4">
        <v>17208.39</v>
      </c>
      <c r="W17" s="4">
        <v>13560.82</v>
      </c>
      <c r="X17" s="4">
        <v>12325.67</v>
      </c>
      <c r="Y17" s="4">
        <v>14017.91</v>
      </c>
    </row>
    <row r="20" spans="1:25" s="4" customFormat="1" x14ac:dyDescent="0.3">
      <c r="A20" s="4" t="s">
        <v>0</v>
      </c>
      <c r="B20" s="4" t="s">
        <v>49</v>
      </c>
      <c r="C20" s="4" t="s">
        <v>50</v>
      </c>
      <c r="D20" s="4" t="s">
        <v>53</v>
      </c>
      <c r="E20" s="4" t="s">
        <v>54</v>
      </c>
      <c r="F20" s="4" t="s">
        <v>55</v>
      </c>
      <c r="G20" s="4" t="s">
        <v>56</v>
      </c>
      <c r="H20" s="4" t="s">
        <v>57</v>
      </c>
      <c r="I20" s="4" t="s">
        <v>58</v>
      </c>
      <c r="J20" s="4" t="s">
        <v>59</v>
      </c>
      <c r="K20" s="4" t="s">
        <v>60</v>
      </c>
      <c r="L20" s="4" t="s">
        <v>61</v>
      </c>
      <c r="M20" s="4" t="s">
        <v>62</v>
      </c>
      <c r="N20" s="4" t="s">
        <v>63</v>
      </c>
      <c r="O20" s="4" t="s">
        <v>64</v>
      </c>
      <c r="P20" s="4" t="s">
        <v>65</v>
      </c>
      <c r="Q20" s="4" t="s">
        <v>66</v>
      </c>
      <c r="R20" s="4" t="s">
        <v>69</v>
      </c>
      <c r="S20" s="4" t="s">
        <v>70</v>
      </c>
      <c r="T20" s="4" t="s">
        <v>71</v>
      </c>
      <c r="U20" s="4" t="s">
        <v>72</v>
      </c>
      <c r="V20" s="4" t="s">
        <v>75</v>
      </c>
      <c r="W20" s="4" t="s">
        <v>76</v>
      </c>
      <c r="X20" s="4" t="s">
        <v>78</v>
      </c>
      <c r="Y20" s="4" t="s">
        <v>79</v>
      </c>
    </row>
    <row r="21" spans="1:25" x14ac:dyDescent="0.3">
      <c r="A21" s="3" t="s">
        <v>26</v>
      </c>
      <c r="B21" s="3">
        <v>14008.94</v>
      </c>
      <c r="C21" s="3">
        <v>10162.789234244869</v>
      </c>
      <c r="D21" s="3">
        <v>15041.396439762097</v>
      </c>
      <c r="E21" s="3">
        <v>9791.7042340510852</v>
      </c>
      <c r="F21" s="3">
        <v>13766.283596605319</v>
      </c>
      <c r="G21" s="3">
        <v>13013.215716468829</v>
      </c>
      <c r="H21" s="3">
        <v>11488.995589348968</v>
      </c>
      <c r="I21" s="3">
        <v>12590.496513375314</v>
      </c>
      <c r="J21" s="3">
        <v>26647.56741879688</v>
      </c>
      <c r="K21" s="3">
        <v>13853.487939100432</v>
      </c>
      <c r="L21" s="3">
        <v>10524.876336899935</v>
      </c>
      <c r="M21" s="3">
        <v>7928.8949195971009</v>
      </c>
      <c r="N21" s="3">
        <v>26584.524539270358</v>
      </c>
      <c r="O21" s="3">
        <v>29656.162936243309</v>
      </c>
      <c r="P21" s="3">
        <v>10195.602721657853</v>
      </c>
      <c r="Q21" s="3">
        <v>19741.940790178436</v>
      </c>
      <c r="R21" s="3">
        <v>10499.747852658031</v>
      </c>
      <c r="S21" s="3">
        <v>16646.315366938867</v>
      </c>
      <c r="T21" s="3">
        <v>10951.326693291232</v>
      </c>
      <c r="U21" s="3">
        <v>12562.368256014177</v>
      </c>
      <c r="V21" s="3">
        <v>14551.122613074816</v>
      </c>
      <c r="W21" s="3">
        <v>11846.682239276515</v>
      </c>
      <c r="X21" s="3">
        <v>9922.6715666936307</v>
      </c>
      <c r="Y21" s="3">
        <v>12548.380441694851</v>
      </c>
    </row>
    <row r="22" spans="1:25" x14ac:dyDescent="0.3">
      <c r="A22" s="3" t="s">
        <v>25</v>
      </c>
      <c r="B22" s="3">
        <v>14191.09</v>
      </c>
      <c r="C22" s="3">
        <v>10294.93</v>
      </c>
      <c r="D22" s="3">
        <v>15312.32</v>
      </c>
      <c r="E22" s="3">
        <v>9919.02</v>
      </c>
      <c r="F22" s="3">
        <v>14014.24</v>
      </c>
      <c r="G22" s="3">
        <v>13169.88</v>
      </c>
      <c r="H22" s="3">
        <v>11627.31</v>
      </c>
      <c r="I22" s="3">
        <v>12826.03</v>
      </c>
      <c r="J22" s="3">
        <v>26998.48</v>
      </c>
      <c r="K22" s="3">
        <v>14047.78</v>
      </c>
      <c r="L22" s="3">
        <v>10692.38</v>
      </c>
      <c r="M22" s="3">
        <v>8043.12</v>
      </c>
      <c r="N22" s="3">
        <v>26765.1</v>
      </c>
      <c r="O22" s="3">
        <v>30045.75</v>
      </c>
      <c r="P22" s="3">
        <v>10372.299999999999</v>
      </c>
      <c r="Q22" s="3">
        <v>20199.39</v>
      </c>
      <c r="R22" s="3">
        <v>10563.79</v>
      </c>
      <c r="S22" s="3">
        <v>16943.87</v>
      </c>
      <c r="T22" s="3">
        <v>11050.98</v>
      </c>
      <c r="U22" s="3">
        <v>12782.78</v>
      </c>
      <c r="V22" s="3">
        <v>14709.25</v>
      </c>
      <c r="W22" s="3">
        <v>12045.22</v>
      </c>
      <c r="X22" s="3">
        <v>10066.11</v>
      </c>
      <c r="Y22" s="3">
        <v>12705.72</v>
      </c>
    </row>
    <row r="23" spans="1:25" x14ac:dyDescent="0.3">
      <c r="A23" s="3" t="s">
        <v>27</v>
      </c>
      <c r="B23" s="3">
        <v>14373.24</v>
      </c>
      <c r="C23" s="3">
        <v>10427.070765755132</v>
      </c>
      <c r="D23" s="3">
        <v>15583.243560237903</v>
      </c>
      <c r="E23" s="3">
        <v>10046.335765948916</v>
      </c>
      <c r="F23" s="3">
        <v>14262.196403394681</v>
      </c>
      <c r="G23" s="3">
        <v>13326.54428353117</v>
      </c>
      <c r="H23" s="3">
        <v>11765.624410651031</v>
      </c>
      <c r="I23" s="3">
        <v>13061.563486624687</v>
      </c>
      <c r="J23" s="3">
        <v>27349.392581203119</v>
      </c>
      <c r="K23" s="3">
        <v>14242.072060899569</v>
      </c>
      <c r="L23" s="3">
        <v>10859.883663100063</v>
      </c>
      <c r="M23" s="3">
        <v>8157.3450804028989</v>
      </c>
      <c r="N23" s="3">
        <v>26945.675460729639</v>
      </c>
      <c r="O23" s="3">
        <v>30435.337063756691</v>
      </c>
      <c r="P23" s="3">
        <v>10548.997278342145</v>
      </c>
      <c r="Q23" s="3">
        <v>20656.839209821563</v>
      </c>
      <c r="R23" s="3">
        <v>10627.832147341971</v>
      </c>
      <c r="S23" s="3">
        <v>17241.424633061131</v>
      </c>
      <c r="T23" s="3">
        <v>11150.633306708767</v>
      </c>
      <c r="U23" s="3">
        <v>13003.191743985824</v>
      </c>
      <c r="V23" s="3">
        <v>14867.377386925184</v>
      </c>
      <c r="W23" s="3">
        <v>12243.757760723483</v>
      </c>
      <c r="X23" s="3">
        <v>10209.54843330637</v>
      </c>
      <c r="Y23" s="3">
        <v>12863.059558305147</v>
      </c>
    </row>
    <row r="24" spans="1:25" x14ac:dyDescent="0.3">
      <c r="A24" s="3" t="s">
        <v>28</v>
      </c>
      <c r="B24" s="3">
        <v>15012.49</v>
      </c>
      <c r="C24" s="3">
        <v>12625.556937481773</v>
      </c>
      <c r="D24" s="3">
        <v>15776.838328766866</v>
      </c>
      <c r="E24" s="3">
        <v>11212.683406853599</v>
      </c>
      <c r="F24" s="3">
        <v>14297.064211470972</v>
      </c>
      <c r="G24" s="3">
        <v>14145.224036550191</v>
      </c>
      <c r="H24" s="3">
        <v>12751.071344089702</v>
      </c>
      <c r="I24" s="3">
        <v>14796.679764308305</v>
      </c>
      <c r="J24" s="3">
        <v>33260.461444977627</v>
      </c>
      <c r="K24" s="3">
        <v>14717.68263406344</v>
      </c>
      <c r="L24" s="3">
        <v>11275.481245574643</v>
      </c>
      <c r="M24" s="3">
        <v>8866.0874129065487</v>
      </c>
      <c r="N24" s="3">
        <v>29140.74375435838</v>
      </c>
      <c r="O24" s="3">
        <v>28770.063435278658</v>
      </c>
      <c r="P24" s="3">
        <v>11508.400252278243</v>
      </c>
      <c r="Q24" s="3">
        <v>21694.132700837283</v>
      </c>
      <c r="R24" s="3">
        <v>10650.734521862556</v>
      </c>
      <c r="S24" s="3">
        <v>19325.641165399389</v>
      </c>
      <c r="T24" s="3">
        <v>12380.862480845344</v>
      </c>
      <c r="U24" s="3">
        <v>13077.670522792218</v>
      </c>
      <c r="V24" s="3">
        <v>15398.047073749533</v>
      </c>
      <c r="W24" s="3">
        <v>11873.711265922469</v>
      </c>
      <c r="X24" s="3">
        <v>11076.012353111626</v>
      </c>
      <c r="Y24" s="3">
        <v>13078.248742521044</v>
      </c>
    </row>
    <row r="25" spans="1:25" x14ac:dyDescent="0.3">
      <c r="A25" s="3" t="s">
        <v>29</v>
      </c>
      <c r="B25" s="3">
        <v>15189.33</v>
      </c>
      <c r="C25" s="3">
        <v>12774.28</v>
      </c>
      <c r="D25" s="3">
        <v>15998.31</v>
      </c>
      <c r="E25" s="3">
        <v>11338.01</v>
      </c>
      <c r="F25" s="3">
        <v>14523.59</v>
      </c>
      <c r="G25" s="3">
        <v>14319.58</v>
      </c>
      <c r="H25" s="3">
        <v>12910.51</v>
      </c>
      <c r="I25" s="3">
        <v>15002.17</v>
      </c>
      <c r="J25" s="3">
        <v>33657.199999999997</v>
      </c>
      <c r="K25" s="3">
        <v>14795.42</v>
      </c>
      <c r="L25" s="3">
        <v>11411.88</v>
      </c>
      <c r="M25" s="3">
        <v>9005.64</v>
      </c>
      <c r="N25" s="3">
        <v>29724.43</v>
      </c>
      <c r="O25" s="3">
        <v>28942.25</v>
      </c>
      <c r="P25" s="3">
        <v>11579.15</v>
      </c>
      <c r="Q25" s="3">
        <v>22030.59</v>
      </c>
      <c r="R25" s="3">
        <v>10736.92</v>
      </c>
      <c r="S25" s="3">
        <v>19649.27</v>
      </c>
      <c r="T25" s="3">
        <v>12493.3</v>
      </c>
      <c r="U25" s="3">
        <v>13265.44</v>
      </c>
      <c r="V25" s="3">
        <v>15606.09</v>
      </c>
      <c r="W25" s="3">
        <v>12009.8</v>
      </c>
      <c r="X25" s="3">
        <v>11241.54</v>
      </c>
      <c r="Y25" s="3">
        <v>13287.27</v>
      </c>
    </row>
    <row r="26" spans="1:25" x14ac:dyDescent="0.3">
      <c r="A26" s="3" t="s">
        <v>30</v>
      </c>
      <c r="B26" s="3">
        <v>15366.17</v>
      </c>
      <c r="C26" s="3">
        <v>12923.003062518228</v>
      </c>
      <c r="D26" s="3">
        <v>16219.781671233133</v>
      </c>
      <c r="E26" s="3">
        <v>11463.336593146401</v>
      </c>
      <c r="F26" s="3">
        <v>14750.115788529029</v>
      </c>
      <c r="G26" s="3">
        <v>14493.935963449809</v>
      </c>
      <c r="H26" s="3">
        <v>13069.948655910299</v>
      </c>
      <c r="I26" s="3">
        <v>15207.660235691696</v>
      </c>
      <c r="J26" s="3">
        <v>34053.938555022367</v>
      </c>
      <c r="K26" s="3">
        <v>14873.15736593656</v>
      </c>
      <c r="L26" s="3">
        <v>11548.278754425355</v>
      </c>
      <c r="M26" s="3">
        <v>9145.1925870934501</v>
      </c>
      <c r="N26" s="3">
        <v>30308.11624564162</v>
      </c>
      <c r="O26" s="3">
        <v>29114.436564721342</v>
      </c>
      <c r="P26" s="3">
        <v>11649.899747721756</v>
      </c>
      <c r="Q26" s="3">
        <v>22367.047299162718</v>
      </c>
      <c r="R26" s="3">
        <v>10823.105478137444</v>
      </c>
      <c r="S26" s="3">
        <v>19972.898834600612</v>
      </c>
      <c r="T26" s="3">
        <v>12605.737519154654</v>
      </c>
      <c r="U26" s="3">
        <v>13453.209477207783</v>
      </c>
      <c r="V26" s="3">
        <v>15814.132926250468</v>
      </c>
      <c r="W26" s="3">
        <v>12145.888734077529</v>
      </c>
      <c r="X26" s="3">
        <v>11407.067646888376</v>
      </c>
      <c r="Y26" s="3">
        <v>13496.291257478957</v>
      </c>
    </row>
    <row r="27" spans="1:25" x14ac:dyDescent="0.3">
      <c r="A27" s="3" t="s">
        <v>31</v>
      </c>
      <c r="B27" s="3">
        <v>15768.050000000001</v>
      </c>
      <c r="C27" s="3">
        <v>13347.645847192527</v>
      </c>
      <c r="D27" s="3">
        <v>16575.232229138011</v>
      </c>
      <c r="E27" s="3">
        <v>12238.195682991331</v>
      </c>
      <c r="F27" s="3">
        <v>14909.706734242785</v>
      </c>
      <c r="G27" s="3">
        <v>16220.062443783012</v>
      </c>
      <c r="H27" s="3">
        <v>14535.271803205236</v>
      </c>
      <c r="I27" s="3">
        <v>15205.068675394055</v>
      </c>
      <c r="J27" s="3">
        <v>35709.540131405978</v>
      </c>
      <c r="K27" s="3">
        <v>17176.137999607807</v>
      </c>
      <c r="L27" s="3">
        <v>11597.358163655223</v>
      </c>
      <c r="M27" s="3">
        <v>9545.2255382963631</v>
      </c>
      <c r="N27" s="3">
        <v>27633.959077556377</v>
      </c>
      <c r="O27" s="3">
        <v>30049.776894780127</v>
      </c>
      <c r="P27" s="3">
        <v>11717.360058253858</v>
      </c>
      <c r="Q27" s="3">
        <v>21400.900278710658</v>
      </c>
      <c r="R27" s="3">
        <v>11076.002053097898</v>
      </c>
      <c r="S27" s="3">
        <v>21579.262201332778</v>
      </c>
      <c r="T27" s="3">
        <v>12207.621285081692</v>
      </c>
      <c r="U27" s="3">
        <v>12069.851547631035</v>
      </c>
      <c r="V27" s="3">
        <v>17024.487942396932</v>
      </c>
      <c r="W27" s="3">
        <v>13066.287030001273</v>
      </c>
      <c r="X27" s="3">
        <v>11526.195500071908</v>
      </c>
      <c r="Y27" s="3">
        <v>14211.936805336552</v>
      </c>
    </row>
    <row r="28" spans="1:25" x14ac:dyDescent="0.3">
      <c r="A28" s="3" t="s">
        <v>32</v>
      </c>
      <c r="B28" s="3">
        <v>15958.12</v>
      </c>
      <c r="C28" s="3">
        <v>13508.54</v>
      </c>
      <c r="D28" s="3">
        <v>16811.78</v>
      </c>
      <c r="E28" s="3">
        <v>12378.14</v>
      </c>
      <c r="F28" s="3">
        <v>15142.22</v>
      </c>
      <c r="G28" s="3">
        <v>16426.25</v>
      </c>
      <c r="H28" s="3">
        <v>14705.43</v>
      </c>
      <c r="I28" s="3">
        <v>15404.17</v>
      </c>
      <c r="J28" s="3">
        <v>36155.660000000003</v>
      </c>
      <c r="K28" s="3">
        <v>17266.91</v>
      </c>
      <c r="L28" s="3">
        <v>11726.44</v>
      </c>
      <c r="M28" s="3">
        <v>9702.49</v>
      </c>
      <c r="N28" s="3">
        <v>28186.12</v>
      </c>
      <c r="O28" s="3">
        <v>30253.79</v>
      </c>
      <c r="P28" s="3">
        <v>11791.44</v>
      </c>
      <c r="Q28" s="3">
        <v>21751.52</v>
      </c>
      <c r="R28" s="3">
        <v>11173.64</v>
      </c>
      <c r="S28" s="3">
        <v>21952.69</v>
      </c>
      <c r="T28" s="3">
        <v>12314.24</v>
      </c>
      <c r="U28" s="3">
        <v>12259.07</v>
      </c>
      <c r="V28" s="3">
        <v>17292.599999999999</v>
      </c>
      <c r="W28" s="3">
        <v>13211.5</v>
      </c>
      <c r="X28" s="3">
        <v>11694.44</v>
      </c>
      <c r="Y28" s="3">
        <v>14446.74</v>
      </c>
    </row>
    <row r="29" spans="1:25" x14ac:dyDescent="0.3">
      <c r="A29" s="3" t="s">
        <v>33</v>
      </c>
      <c r="B29" s="3">
        <v>16148.19</v>
      </c>
      <c r="C29" s="3">
        <v>13669.434152807475</v>
      </c>
      <c r="D29" s="3">
        <v>17048.327770861986</v>
      </c>
      <c r="E29" s="3">
        <v>12518.084317008668</v>
      </c>
      <c r="F29" s="3">
        <v>15374.733265757213</v>
      </c>
      <c r="G29" s="3">
        <v>16632.437556216988</v>
      </c>
      <c r="H29" s="3">
        <v>14875.588196794764</v>
      </c>
      <c r="I29" s="3">
        <v>15603.271324605945</v>
      </c>
      <c r="J29" s="3">
        <v>36601.779868594029</v>
      </c>
      <c r="K29" s="3">
        <v>17357.682000392193</v>
      </c>
      <c r="L29" s="3">
        <v>11855.521836344778</v>
      </c>
      <c r="M29" s="3">
        <v>9859.7544617036365</v>
      </c>
      <c r="N29" s="3">
        <v>28738.280922443621</v>
      </c>
      <c r="O29" s="3">
        <v>30457.803105219875</v>
      </c>
      <c r="P29" s="3">
        <v>11865.519941746143</v>
      </c>
      <c r="Q29" s="3">
        <v>22102.139721289343</v>
      </c>
      <c r="R29" s="3">
        <v>11271.277946902101</v>
      </c>
      <c r="S29" s="3">
        <v>22326.117798667219</v>
      </c>
      <c r="T29" s="3">
        <v>12420.858714918308</v>
      </c>
      <c r="U29" s="3">
        <v>12448.288452368964</v>
      </c>
      <c r="V29" s="3">
        <v>17560.712057603065</v>
      </c>
      <c r="W29" s="3">
        <v>13356.712969998727</v>
      </c>
      <c r="X29" s="3">
        <v>11862.684499928093</v>
      </c>
      <c r="Y29" s="3">
        <v>14681.543194663447</v>
      </c>
    </row>
    <row r="30" spans="1:25" x14ac:dyDescent="0.3">
      <c r="A30" s="3" t="s">
        <v>34</v>
      </c>
      <c r="B30" s="3">
        <v>16710.91</v>
      </c>
      <c r="C30" s="3">
        <v>14993.301655189827</v>
      </c>
      <c r="D30" s="3">
        <v>17447.251225615379</v>
      </c>
      <c r="E30" s="3">
        <v>12319.613959003391</v>
      </c>
      <c r="F30" s="3">
        <v>15972.208229948739</v>
      </c>
      <c r="G30" s="3">
        <v>16413.423481693422</v>
      </c>
      <c r="H30" s="3">
        <v>14368.840484343496</v>
      </c>
      <c r="I30" s="3">
        <v>14515.428637184594</v>
      </c>
      <c r="J30" s="3">
        <v>36440.185255580283</v>
      </c>
      <c r="K30" s="3">
        <v>17691.137948423268</v>
      </c>
      <c r="L30" s="3">
        <v>11677.801099610921</v>
      </c>
      <c r="M30" s="3">
        <v>9811.8069161684252</v>
      </c>
      <c r="N30" s="3">
        <v>29955.3851898213</v>
      </c>
      <c r="O30" s="3">
        <v>32978.596169140321</v>
      </c>
      <c r="P30" s="3">
        <v>12389.831310359577</v>
      </c>
      <c r="Q30" s="3">
        <v>23321.5843610665</v>
      </c>
      <c r="R30" s="3">
        <v>11913.685922447932</v>
      </c>
      <c r="S30" s="3">
        <v>23332.392104316157</v>
      </c>
      <c r="T30" s="3">
        <v>12869.058724214248</v>
      </c>
      <c r="U30" s="3">
        <v>13690.168958350347</v>
      </c>
      <c r="V30" s="3">
        <v>16959.148535915534</v>
      </c>
      <c r="W30" s="3">
        <v>13402.101795903045</v>
      </c>
      <c r="X30" s="3">
        <v>12142.604876010448</v>
      </c>
      <c r="Y30" s="3">
        <v>13788.847624234626</v>
      </c>
    </row>
    <row r="31" spans="1:25" x14ac:dyDescent="0.3">
      <c r="A31" s="3" t="s">
        <v>35</v>
      </c>
      <c r="B31" s="3">
        <v>16912.32</v>
      </c>
      <c r="C31" s="3">
        <v>15174.01</v>
      </c>
      <c r="D31" s="3">
        <v>17681.95</v>
      </c>
      <c r="E31" s="3">
        <v>12461.56</v>
      </c>
      <c r="F31" s="3">
        <v>16234.6</v>
      </c>
      <c r="G31" s="3">
        <v>16619.61</v>
      </c>
      <c r="H31" s="3">
        <v>14545.11</v>
      </c>
      <c r="I31" s="3">
        <v>14719.25</v>
      </c>
      <c r="J31" s="3">
        <v>36945.730000000003</v>
      </c>
      <c r="K31" s="3">
        <v>17788.11</v>
      </c>
      <c r="L31" s="3">
        <v>11811.54</v>
      </c>
      <c r="M31" s="3">
        <v>9982.02</v>
      </c>
      <c r="N31" s="3">
        <v>30572.25</v>
      </c>
      <c r="O31" s="3">
        <v>33197.300000000003</v>
      </c>
      <c r="P31" s="3">
        <v>12465.46</v>
      </c>
      <c r="Q31" s="3">
        <v>23704.59</v>
      </c>
      <c r="R31" s="3">
        <v>12015.78</v>
      </c>
      <c r="S31" s="3">
        <v>23730.16</v>
      </c>
      <c r="T31" s="3">
        <v>12979.22</v>
      </c>
      <c r="U31" s="3">
        <v>13905.96</v>
      </c>
      <c r="V31" s="3">
        <v>17208.39</v>
      </c>
      <c r="W31" s="3">
        <v>13560.82</v>
      </c>
      <c r="X31" s="3">
        <v>12325.67</v>
      </c>
      <c r="Y31" s="3">
        <v>14017.91</v>
      </c>
    </row>
    <row r="32" spans="1:25" x14ac:dyDescent="0.3">
      <c r="A32" s="3" t="s">
        <v>36</v>
      </c>
      <c r="B32" s="3">
        <v>17113.73</v>
      </c>
      <c r="C32" s="3">
        <v>15354.718344810173</v>
      </c>
      <c r="D32" s="3">
        <v>17916.648774384623</v>
      </c>
      <c r="E32" s="3">
        <v>12603.506040996608</v>
      </c>
      <c r="F32" s="3">
        <v>16496.991770051263</v>
      </c>
      <c r="G32" s="3">
        <v>16825.796518306579</v>
      </c>
      <c r="H32" s="3">
        <v>14721.379515656505</v>
      </c>
      <c r="I32" s="3">
        <v>14923.071362815406</v>
      </c>
      <c r="J32" s="3">
        <v>37451.274744419723</v>
      </c>
      <c r="K32" s="3">
        <v>17885.082051576734</v>
      </c>
      <c r="L32" s="3">
        <v>11945.278900389081</v>
      </c>
      <c r="M32" s="3">
        <v>10152.233083831576</v>
      </c>
      <c r="N32" s="3">
        <v>31189.1148101787</v>
      </c>
      <c r="O32" s="3">
        <v>33416.003830859685</v>
      </c>
      <c r="P32" s="3">
        <v>12541.088689640421</v>
      </c>
      <c r="Q32" s="3">
        <v>24087.595638933501</v>
      </c>
      <c r="R32" s="3">
        <v>12117.874077552069</v>
      </c>
      <c r="S32" s="3">
        <v>24127.927895683843</v>
      </c>
      <c r="T32" s="3">
        <v>13089.38127578575</v>
      </c>
      <c r="U32" s="3">
        <v>14121.751041649652</v>
      </c>
      <c r="V32" s="3">
        <v>17457.631464084465</v>
      </c>
      <c r="W32" s="3">
        <v>13719.538204096954</v>
      </c>
      <c r="X32" s="3">
        <v>12508.735123989552</v>
      </c>
      <c r="Y32" s="3">
        <v>14246.972375765374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итоговая</vt:lpstr>
      <vt:lpstr>Лист2</vt:lpstr>
      <vt:lpstr>зп жінки</vt:lpstr>
      <vt:lpstr>зп чоловіки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2023-05-22T17:24:09Z</dcterms:modified>
</cp:coreProperties>
</file>